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4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  <xf numFmtId="0" fontId="23" fillId="0" borderId="0" pivotButton="0" quotePrefix="0" xfId="0"/>
    <xf numFmtId="0" fontId="24" fillId="0" borderId="0" pivotButton="0" quotePrefix="0" xfId="0"/>
    <xf numFmtId="0" fontId="14" fillId="9" borderId="3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3799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2399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2399.95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OLED65G59LS</t>
        </is>
      </c>
      <c r="D6" s="84">
        <f>IF(E6="","",E6-F6)</f>
        <v/>
      </c>
      <c r="E6" s="84" t="n">
        <v>1699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OLED65G57LW</t>
        </is>
      </c>
      <c r="N6" s="84">
        <f>IF(O6="","",O6-P6)</f>
        <v/>
      </c>
      <c r="O6" s="84" t="n">
        <v>1672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OLED55G59LS</t>
        </is>
      </c>
      <c r="D7" s="84">
        <f>IF(E7="","",E7-F7)</f>
        <v/>
      </c>
      <c r="E7" s="84" t="n">
        <v>1299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1249.95</v>
      </c>
      <c r="K7" s="84" t="n">
        <v>0</v>
      </c>
      <c r="L7" s="85">
        <f>IFERROR(I7/I7,"")</f>
        <v/>
      </c>
      <c r="M7" s="83" t="inlineStr">
        <is>
          <t>OLED55G58LW</t>
        </is>
      </c>
      <c r="N7" s="84">
        <f>IF(O7="","",O7-P7)</f>
        <v/>
      </c>
      <c r="O7" s="84" t="n">
        <v>1089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2109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2199.95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2299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>
        <is>
          <t>OLED77C57LA</t>
        </is>
      </c>
      <c r="D10" s="84">
        <f>IF(E10="","",E10-F10)</f>
        <v/>
      </c>
      <c r="E10" s="84" t="n">
        <v>1799</v>
      </c>
      <c r="F10" s="84" t="n">
        <v>0</v>
      </c>
      <c r="G10" s="85">
        <f>IFERROR(D10/D5,"")</f>
        <v/>
      </c>
      <c r="H10" s="83" t="inlineStr"/>
      <c r="I10" s="84">
        <f>IF(J10="","",J10-K10)</f>
        <v/>
      </c>
      <c r="J10" s="84" t="inlineStr"/>
      <c r="K10" s="84" t="inlineStr"/>
      <c r="L10" s="85">
        <f>IFERROR(I10/I5,"")</f>
        <v/>
      </c>
      <c r="M10" s="83" t="inlineStr">
        <is>
          <t>OLED77C58LA</t>
        </is>
      </c>
      <c r="N10" s="84">
        <f>IF(O10="","",O10-P10)</f>
        <v/>
      </c>
      <c r="O10" s="84" t="n">
        <v>1699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1249</v>
      </c>
      <c r="F11" s="84" t="n">
        <v>0</v>
      </c>
      <c r="G11" s="85">
        <f>IFERROR(D11/D6,"")</f>
        <v/>
      </c>
      <c r="H11" s="83" t="inlineStr"/>
      <c r="I11" s="84">
        <f>IF(J11="","",J11-K11)</f>
        <v/>
      </c>
      <c r="J11" s="84" t="inlineStr"/>
      <c r="K11" s="84" t="inlineStr"/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879</v>
      </c>
      <c r="F12" s="84" t="n">
        <v>0</v>
      </c>
      <c r="G12" s="85">
        <f>IFERROR(D12/D7,"")</f>
        <v/>
      </c>
      <c r="H12" s="83" t="inlineStr"/>
      <c r="I12" s="84">
        <f>IF(J12="","",J12-K12)</f>
        <v/>
      </c>
      <c r="J12" s="84" t="inlineStr"/>
      <c r="K12" s="84" t="inlineStr"/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899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799</v>
      </c>
      <c r="F13" s="84" t="n">
        <v>0</v>
      </c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699</v>
      </c>
      <c r="F14" s="84" t="n">
        <v>0</v>
      </c>
      <c r="G14" s="85">
        <f>IFERROR(D14/D7,"")</f>
        <v/>
      </c>
      <c r="H14" s="83" t="inlineStr"/>
      <c r="I14" s="84">
        <f>IF(J14="","",J14-K14)</f>
        <v/>
      </c>
      <c r="J14" s="84" t="inlineStr"/>
      <c r="K14" s="84" t="inlineStr"/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1889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/>
      <c r="N16" s="84">
        <f>IF(O16="","",O16-P16)</f>
        <v/>
      </c>
      <c r="O16" s="84" t="inlineStr"/>
      <c r="P16" s="84" t="inlineStr"/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/>
      <c r="N17" s="84">
        <f>IF(O17="","",O17-P17)</f>
        <v/>
      </c>
      <c r="O17" s="84" t="inlineStr"/>
      <c r="P17" s="84" t="inlineStr"/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/>
      <c r="D18" s="84">
        <f>IF(E18="","",E18-F18)</f>
        <v/>
      </c>
      <c r="E18" s="84" t="inlineStr"/>
      <c r="F18" s="84" t="inlineStr"/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1229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>
        <is>
          <t>OLED55B59LA</t>
        </is>
      </c>
      <c r="D19" s="84">
        <f>IF(E19="","",E19-F19)</f>
        <v/>
      </c>
      <c r="E19" s="84" t="n">
        <v>799</v>
      </c>
      <c r="F19" s="84" t="n">
        <v>0</v>
      </c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/>
      <c r="N19" s="84">
        <f>IF(O19="","",O19-P19)</f>
        <v/>
      </c>
      <c r="O19" s="84" t="inlineStr"/>
      <c r="P19" s="84" t="inlineStr"/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699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OLED48B59LA</t>
        </is>
      </c>
      <c r="N20" s="84">
        <f>IF(O20="","",O20-P20)</f>
        <v/>
      </c>
      <c r="O20" s="84" t="n">
        <v>734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5649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3949.95</v>
      </c>
      <c r="K22" s="89" t="n">
        <v>0</v>
      </c>
      <c r="L22" s="90" t="inlineStr"/>
      <c r="M22" s="125" t="inlineStr"/>
      <c r="N22" s="89">
        <f>IF(O22="","",O22-P22)</f>
        <v/>
      </c>
      <c r="O22" s="89" t="inlineStr"/>
      <c r="P22" s="89" t="inlineStr"/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3598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2949.95</v>
      </c>
      <c r="K23" s="89" t="n">
        <v>0</v>
      </c>
      <c r="L23" s="90" t="inlineStr"/>
      <c r="M23" s="125" t="inlineStr"/>
      <c r="N23" s="89">
        <f>IF(O23="","",O23-P23)</f>
        <v/>
      </c>
      <c r="O23" s="89" t="inlineStr"/>
      <c r="P23" s="89" t="inlineStr"/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3363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1999.95</v>
      </c>
      <c r="K24" s="89" t="n">
        <v>0</v>
      </c>
      <c r="L24" s="90" t="inlineStr"/>
      <c r="M24" s="125" t="inlineStr">
        <is>
          <t>QE65S95F</t>
        </is>
      </c>
      <c r="N24" s="89">
        <f>IF(O24="","",O24-P24)</f>
        <v/>
      </c>
      <c r="O24" s="89" t="n">
        <v>1999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2593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1599.95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1600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2269</v>
      </c>
      <c r="F27" s="89" t="n">
        <v>0</v>
      </c>
      <c r="G27" s="90" t="inlineStr"/>
      <c r="H27" s="125" t="inlineStr"/>
      <c r="I27" s="8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>
        <is>
          <t>QE77S90FAE</t>
        </is>
      </c>
      <c r="D28" s="89">
        <f>IF(E28="","",E28-F28)</f>
        <v/>
      </c>
      <c r="E28" s="89" t="n">
        <v>1799</v>
      </c>
      <c r="F28" s="89" t="n">
        <v>0</v>
      </c>
      <c r="G28" s="90" t="inlineStr"/>
      <c r="H28" s="125" t="inlineStr"/>
      <c r="I28" s="89">
        <f>IF(J28="","",J28-K28)</f>
        <v/>
      </c>
      <c r="J28" s="89" t="inlineStr"/>
      <c r="K28" s="89" t="inlineStr"/>
      <c r="L28" s="90" t="inlineStr"/>
      <c r="M28" s="125" t="inlineStr">
        <is>
          <t>QE77S90FAE</t>
        </is>
      </c>
      <c r="N28" s="89">
        <f>IF(O28="","",O28-P28)</f>
        <v/>
      </c>
      <c r="O28" s="89" t="n">
        <v>1849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/>
      <c r="N29" s="89">
        <f>IF(O29="","",O29-P29)</f>
        <v/>
      </c>
      <c r="O29" s="89" t="inlineStr"/>
      <c r="P29" s="89" t="inlineStr"/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</t>
        </is>
      </c>
      <c r="D30" s="89">
        <f>IF(E30="","",E30-F30)</f>
        <v/>
      </c>
      <c r="E30" s="89" t="n">
        <v>879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879.95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889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839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649.9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699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/>
      <c r="I34" s="89">
        <f>IF(J34="","",J34-K34)</f>
        <v/>
      </c>
      <c r="J34" s="89" t="inlineStr"/>
      <c r="K34" s="89" t="inlineStr"/>
      <c r="L34" s="90" t="inlineStr"/>
      <c r="M34" s="125" t="inlineStr"/>
      <c r="N34" s="89">
        <f>IF(O34="","",O34-P34)</f>
        <v/>
      </c>
      <c r="O34" s="89" t="inlineStr"/>
      <c r="P34" s="89" t="inlineStr"/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2073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1628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1349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/>
      <c r="D39" s="84">
        <f>IF(E39="","",E39-F39)</f>
        <v/>
      </c>
      <c r="E39" s="84" t="inlineStr"/>
      <c r="F39" s="84" t="inlineStr"/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2419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>
        <is>
          <t>86QNED86A6A</t>
        </is>
      </c>
      <c r="D40" s="84">
        <f>IF(E40="","",E40-F40)</f>
        <v/>
      </c>
      <c r="E40" s="84" t="n">
        <v>1762.1</v>
      </c>
      <c r="F40" s="84" t="n">
        <v>0</v>
      </c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/>
      <c r="N40" s="84">
        <f>IF(O40="","",O40-P40)</f>
        <v/>
      </c>
      <c r="O40" s="84" t="inlineStr"/>
      <c r="P40" s="84" t="inlineStr"/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/>
      <c r="N41" s="84">
        <f>IF(O41="","",O41-P41)</f>
        <v/>
      </c>
      <c r="O41" s="84" t="inlineStr"/>
      <c r="P41" s="84" t="inlineStr"/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699</v>
      </c>
      <c r="F42" s="84" t="n">
        <v>0</v>
      </c>
      <c r="G42" s="85">
        <f>IFERROR(D42/D6,"")</f>
        <v/>
      </c>
      <c r="H42" s="83" t="inlineStr"/>
      <c r="I42" s="84">
        <f>IF(J42="","",J42-K42)</f>
        <v/>
      </c>
      <c r="J42" s="84" t="inlineStr"/>
      <c r="K42" s="84" t="inlineStr"/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699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/>
      <c r="I43" s="84">
        <f>IF(J43="","",J43-K43)</f>
        <v/>
      </c>
      <c r="J43" s="84" t="inlineStr"/>
      <c r="K43" s="84" t="inlineStr"/>
      <c r="L43" s="85">
        <f>IFERROR(I43/I7,"")</f>
        <v/>
      </c>
      <c r="M43" s="83" t="inlineStr">
        <is>
          <t>55QNED86A6A</t>
        </is>
      </c>
      <c r="N43" s="84">
        <f>IF(O43="","",O43-P43)</f>
        <v/>
      </c>
      <c r="O43" s="84" t="n">
        <v>899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499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>
        <is>
          <t>86QNED80A6A</t>
        </is>
      </c>
      <c r="D47" s="84">
        <f>IF(E47="","",E47-F47)</f>
        <v/>
      </c>
      <c r="E47" s="84" t="n">
        <v>1346.2</v>
      </c>
      <c r="F47" s="84" t="n">
        <v>0</v>
      </c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1111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>
        <is>
          <t>75QNED80A3A</t>
        </is>
      </c>
      <c r="D48" s="84">
        <f>IF(E48="","",E48-F48)</f>
        <v/>
      </c>
      <c r="E48" s="84" t="n">
        <v>1052.9</v>
      </c>
      <c r="F48" s="84" t="n">
        <v>0</v>
      </c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75QNED80A6A</t>
        </is>
      </c>
      <c r="N48" s="84">
        <f>IF(O48="","",O48-P48)</f>
        <v/>
      </c>
      <c r="O48" s="84" t="n">
        <v>699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848.45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/>
      <c r="N49" s="84">
        <f>IF(O49="","",O49-P49)</f>
        <v/>
      </c>
      <c r="O49" s="84" t="inlineStr"/>
      <c r="P49" s="84" t="inlineStr"/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549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479.95</v>
      </c>
      <c r="K50" s="84" t="n">
        <v>0</v>
      </c>
      <c r="L50" s="85">
        <f>IFERROR(I50/I7,"")</f>
        <v/>
      </c>
      <c r="M50" s="83" t="inlineStr">
        <is>
          <t>55QNED70A6A</t>
        </is>
      </c>
      <c r="N50" s="84">
        <f>IF(O50="","",O50-P50)</f>
        <v/>
      </c>
      <c r="O50" s="84" t="n">
        <v>379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499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444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349.95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333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/>
      <c r="D54" s="95">
        <f>IF(E54="","",E54-F54)</f>
        <v/>
      </c>
      <c r="E54" s="89" t="inlineStr"/>
      <c r="F54" s="89" t="inlineStr"/>
      <c r="G54" s="90" t="inlineStr"/>
      <c r="H54" s="125" t="inlineStr">
        <is>
          <t>QE85QN80F</t>
        </is>
      </c>
      <c r="I54" s="95">
        <f>IF(J54="","",J54-K54)</f>
        <v/>
      </c>
      <c r="J54" s="89" t="n">
        <v>1799.9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1904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</t>
        </is>
      </c>
      <c r="D55" s="95">
        <f>IF(E55="","",E55-F55)</f>
        <v/>
      </c>
      <c r="E55" s="89" t="n">
        <v>1299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>
        <is>
          <t>QE75QN80FAU</t>
        </is>
      </c>
      <c r="N55" s="95">
        <f>IF(O55="","",O55-P55)</f>
        <v/>
      </c>
      <c r="O55" s="96" t="n">
        <v>1503</v>
      </c>
      <c r="P55" s="96" t="n">
        <v>0</v>
      </c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>
        <is>
          <t>QE65QN80F</t>
        </is>
      </c>
      <c r="D56" s="95">
        <f>IF(E56="","",E56-F56)</f>
        <v/>
      </c>
      <c r="E56" s="89" t="n">
        <v>879</v>
      </c>
      <c r="F56" s="89" t="n">
        <v>0</v>
      </c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/>
      <c r="N56" s="95">
        <f>IF(O56="","",O56-P56)</f>
        <v/>
      </c>
      <c r="O56" s="89" t="inlineStr"/>
      <c r="P56" s="89" t="inlineStr"/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>
        <is>
          <t>QE55QN80F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125" t="inlineStr">
        <is>
          <t>QE55QN80F</t>
        </is>
      </c>
      <c r="I57" s="95">
        <f>IF(J57="","",J57-K57)</f>
        <v/>
      </c>
      <c r="J57" s="89" t="n">
        <v>749.95</v>
      </c>
      <c r="K57" s="89" t="n">
        <v>0</v>
      </c>
      <c r="L57" s="90" t="inlineStr"/>
      <c r="M57" s="125" t="inlineStr"/>
      <c r="N57" s="95">
        <f>IF(O57="","",O57-P57)</f>
        <v/>
      </c>
      <c r="O57" s="96" t="inlineStr"/>
      <c r="P57" s="96" t="inlineStr"/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QE50QN80FAU</t>
        </is>
      </c>
      <c r="D58" s="95">
        <f>IF(E58="","",E58-F58)</f>
        <v/>
      </c>
      <c r="E58" s="89" t="n">
        <v>919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699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699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1299.95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1449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999.95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949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749.95</v>
      </c>
      <c r="K62" s="89" t="n">
        <v>0</v>
      </c>
      <c r="L62" s="90" t="inlineStr"/>
      <c r="M62" s="125" t="inlineStr"/>
      <c r="N62" s="89">
        <f>IF(O62="","",O62-P62)</f>
        <v/>
      </c>
      <c r="O62" s="89" t="inlineStr"/>
      <c r="P62" s="89" t="inlineStr"/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579.95</v>
      </c>
      <c r="K63" s="89" t="n">
        <v>0</v>
      </c>
      <c r="L63" s="90" t="inlineStr"/>
      <c r="M63" s="125" t="inlineStr"/>
      <c r="N63" s="89">
        <f>IF(O63="","",O63-P63)</f>
        <v/>
      </c>
      <c r="O63" s="89" t="inlineStr"/>
      <c r="P63" s="89" t="inlineStr"/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>
        <is>
          <t>QE85Q8FAAU</t>
        </is>
      </c>
      <c r="D65" s="89">
        <f>IF(E65="","",E65-F65)</f>
        <v/>
      </c>
      <c r="E65" s="89" t="n">
        <v>1299</v>
      </c>
      <c r="F65" s="89" t="n">
        <v>0</v>
      </c>
      <c r="G65" s="90" t="inlineStr"/>
      <c r="H65" s="125" t="inlineStr">
        <is>
          <t>QE85Q8F</t>
        </is>
      </c>
      <c r="I65" s="89">
        <f>IF(J65="","",J65-K65)</f>
        <v/>
      </c>
      <c r="J65" s="89" t="n">
        <v>1199.95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1199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849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849.95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849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649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649.95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699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539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449.95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489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>
        <is>
          <t>QE50Q8FAAU</t>
        </is>
      </c>
      <c r="D69" s="89">
        <f>IF(E69="","",E69-F69)</f>
        <v/>
      </c>
      <c r="E69" s="89" t="n">
        <v>449</v>
      </c>
      <c r="F69" s="89" t="n">
        <v>0</v>
      </c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413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>
        <is>
          <t>QE43Q8FAAU</t>
        </is>
      </c>
      <c r="D70" s="95">
        <f>IF(E70="","",E70-F70)</f>
        <v/>
      </c>
      <c r="E70" s="89" t="n">
        <v>459</v>
      </c>
      <c r="F70" s="89" t="n">
        <v>0</v>
      </c>
      <c r="G70" s="90" t="inlineStr"/>
      <c r="H70" s="125" t="inlineStr"/>
      <c r="I70" s="95">
        <f>IF(J70="","",J70-K70)</f>
        <v/>
      </c>
      <c r="J70" s="89" t="inlineStr"/>
      <c r="K70" s="89" t="inlineStr"/>
      <c r="L70" s="90" t="inlineStr"/>
      <c r="M70" s="125" t="inlineStr"/>
      <c r="N70" s="95">
        <f>IF(O70="","",O70-P70)</f>
        <v/>
      </c>
      <c r="O70" s="89" t="inlineStr"/>
      <c r="P70" s="89" t="inlineStr"/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1316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1299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QE75Q7FAAU</t>
        </is>
      </c>
      <c r="N73" s="89">
        <f>IF(O73="","",O73-P73)</f>
        <v/>
      </c>
      <c r="O73" s="89" t="n">
        <v>799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QE65Q7F5AU</t>
        </is>
      </c>
      <c r="N74" s="89">
        <f>IF(O74="","",O74-P74)</f>
        <v/>
      </c>
      <c r="O74" s="89" t="n">
        <v>966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788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499.95</v>
      </c>
      <c r="K76" s="89" t="n">
        <v>0</v>
      </c>
      <c r="L76" s="90" t="inlineStr"/>
      <c r="M76" s="125" t="inlineStr"/>
      <c r="N76" s="89">
        <f>IF(O76="","",O76-P76)</f>
        <v/>
      </c>
      <c r="O76" s="89" t="inlineStr"/>
      <c r="P76" s="89" t="inlineStr"/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/>
      <c r="N77" s="89">
        <f>IF(O77="","",O77-P77)</f>
        <v/>
      </c>
      <c r="O77" s="89" t="inlineStr"/>
      <c r="P77" s="89" t="inlineStr"/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/>
      <c r="N79" s="84">
        <f>IF(O79="","",O79-P79)</f>
        <v/>
      </c>
      <c r="O79" s="84" t="inlineStr"/>
      <c r="P79" s="84" t="inlineStr"/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666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/>
      <c r="N81" s="84">
        <f>IF(O81="","",O81-P81)</f>
        <v/>
      </c>
      <c r="O81" s="84" t="inlineStr"/>
      <c r="P81" s="84" t="inlineStr"/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/>
      <c r="D82" s="84">
        <f>IF(E82="","",E82-F82)</f>
        <v/>
      </c>
      <c r="E82" s="84" t="inlineStr"/>
      <c r="F82" s="84" t="inlineStr"/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55UA75006LA</t>
        </is>
      </c>
      <c r="N82" s="84">
        <f>IF(O82="","",O82-P82)</f>
        <v/>
      </c>
      <c r="O82" s="84" t="n">
        <v>400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/>
      <c r="N83" s="84">
        <f>IF(O83="","",O83-P83)</f>
        <v/>
      </c>
      <c r="O83" s="84" t="inlineStr"/>
      <c r="P83" s="84" t="inlineStr"/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/>
      <c r="N84" s="84">
        <f>IF(O84="","",O84-P84)</f>
        <v/>
      </c>
      <c r="O84" s="84" t="inlineStr"/>
      <c r="P84" s="84" t="inlineStr"/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>
        <is>
          <t>UE85U8000FUXXN</t>
        </is>
      </c>
      <c r="D86" s="89">
        <f>IF(E86="","",E86-F86)</f>
        <v/>
      </c>
      <c r="E86" s="89" t="n">
        <v>1020.9</v>
      </c>
      <c r="F86" s="89" t="n">
        <v>0</v>
      </c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899.95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899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</t>
        </is>
      </c>
      <c r="D87" s="89">
        <f>IF(E87="","",E87-F87)</f>
        <v/>
      </c>
      <c r="E87" s="89" t="n">
        <v>749.6</v>
      </c>
      <c r="F87" s="89" t="n">
        <v>0</v>
      </c>
      <c r="G87" s="90" t="inlineStr"/>
      <c r="H87" s="125" t="inlineStr"/>
      <c r="I87" s="89">
        <f>IF(J87="","",J87-K87)</f>
        <v/>
      </c>
      <c r="J87" s="89" t="inlineStr"/>
      <c r="K87" s="89" t="inlineStr"/>
      <c r="L87" s="90" t="inlineStr"/>
      <c r="M87" s="125" t="inlineStr"/>
      <c r="N87" s="89">
        <f>IF(O87="","",O87-P87)</f>
        <v/>
      </c>
      <c r="O87" s="89" t="inlineStr"/>
      <c r="P87" s="89" t="inlineStr"/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</t>
        </is>
      </c>
      <c r="D88" s="89">
        <f>IF(E88="","",E88-F88)</f>
        <v/>
      </c>
      <c r="E88" s="89" t="n">
        <v>549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549.95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599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399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399.95</v>
      </c>
      <c r="K89" s="89" t="n">
        <v>0</v>
      </c>
      <c r="L89" s="90" t="inlineStr"/>
      <c r="M89" s="125" t="inlineStr">
        <is>
          <t>UE55U8000F</t>
        </is>
      </c>
      <c r="N89" s="89">
        <f>IF(O89="","",O89-P89)</f>
        <v/>
      </c>
      <c r="O89" s="89" t="n">
        <v>505</v>
      </c>
      <c r="P89" s="89" t="n">
        <v>0</v>
      </c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>
        <is>
          <t>UE50U8000FUXXN</t>
        </is>
      </c>
      <c r="D90" s="89">
        <f>IF(E90="","",E90-F90)</f>
        <v/>
      </c>
      <c r="E90" s="89" t="n">
        <v>445.55</v>
      </c>
      <c r="F90" s="89" t="n">
        <v>0</v>
      </c>
      <c r="G90" s="90" t="inlineStr"/>
      <c r="H90" s="125" t="inlineStr"/>
      <c r="I90" s="89">
        <f>IF(J90="","",J90-K90)</f>
        <v/>
      </c>
      <c r="J90" s="89" t="inlineStr"/>
      <c r="K90" s="89" t="inlineStr"/>
      <c r="L90" s="90" t="inlineStr"/>
      <c r="M90" s="125" t="inlineStr"/>
      <c r="N90" s="89">
        <f>IF(O90="","",O90-P90)</f>
        <v/>
      </c>
      <c r="O90" s="89" t="inlineStr"/>
      <c r="P90" s="89" t="inlineStr"/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/>
      <c r="D91" s="89">
        <f>IF(E91="","",E91-F91)</f>
        <v/>
      </c>
      <c r="E91" s="89" t="inlineStr"/>
      <c r="F91" s="89" t="inlineStr"/>
      <c r="G91" s="90" t="inlineStr"/>
      <c r="H91" s="125" t="inlineStr"/>
      <c r="I91" s="89">
        <f>IF(J91="","",J91-K91)</f>
        <v/>
      </c>
      <c r="J91" s="89" t="inlineStr"/>
      <c r="K91" s="89" t="inlineStr"/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1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1000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OLED83G67LW</t>
        </is>
      </c>
      <c r="N4" s="84">
        <f>IF(O4="","",O4-P4)</f>
        <v/>
      </c>
      <c r="O4" s="84" t="n">
        <v>5999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700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OLED65G67LW</t>
        </is>
      </c>
      <c r="D6" s="84">
        <f>IF(E6="","",E6-F6)</f>
        <v/>
      </c>
      <c r="E6" s="84" t="n">
        <v>3499</v>
      </c>
      <c r="F6" s="84" t="n">
        <v>500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300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3499</v>
      </c>
      <c r="F9" s="84" t="n">
        <v>0</v>
      </c>
      <c r="G9" s="85">
        <f>IFERROR(D9/D4,"")</f>
        <v/>
      </c>
      <c r="H9" s="83" t="inlineStr">
        <is>
          <t>OLED83C67</t>
        </is>
      </c>
      <c r="I9" s="107">
        <f>IF(J9="","",J9-K9)</f>
        <v/>
      </c>
      <c r="J9" s="84" t="n">
        <v>2999.95</v>
      </c>
      <c r="K9" s="84" t="n">
        <v>0</v>
      </c>
      <c r="L9" s="85">
        <f>IFERROR(I9/I4,"")</f>
        <v/>
      </c>
      <c r="M9" s="83" t="inlineStr">
        <is>
          <t>OLED83C67LA</t>
        </is>
      </c>
      <c r="N9" s="103">
        <f>IF(O9="","",O9-P9)</f>
        <v/>
      </c>
      <c r="O9" s="84" t="n">
        <v>3333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2499</v>
      </c>
      <c r="F10" s="84" t="n">
        <v>0</v>
      </c>
      <c r="G10" s="85">
        <f>IFERROR(D10/D5,"")</f>
        <v/>
      </c>
      <c r="H10" s="83" t="inlineStr">
        <is>
          <t>OLED77C68</t>
        </is>
      </c>
      <c r="I10" s="108">
        <f>IF(J10="","",J10-K10)</f>
        <v/>
      </c>
      <c r="J10" s="84" t="n">
        <v>2299.95</v>
      </c>
      <c r="K10" s="84" t="n">
        <v>0</v>
      </c>
      <c r="L10" s="85">
        <f>IFERROR(I10/I5,"")</f>
        <v/>
      </c>
      <c r="M10" s="83" t="inlineStr">
        <is>
          <t>OLED77C67LA</t>
        </is>
      </c>
      <c r="N10" s="84">
        <f>IF(O10="","",O10-P10)</f>
        <v/>
      </c>
      <c r="O10" s="84" t="n">
        <v>2399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1999</v>
      </c>
      <c r="F11" s="84" t="n">
        <v>0</v>
      </c>
      <c r="G11" s="85">
        <f>IFERROR(D11/D6,"")</f>
        <v/>
      </c>
      <c r="H11" s="83" t="inlineStr">
        <is>
          <t>OLED65C68</t>
        </is>
      </c>
      <c r="I11" s="108">
        <f>IF(J11="","",J11-K11)</f>
        <v/>
      </c>
      <c r="J11" s="84" t="n">
        <v>1699.95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1749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1399</v>
      </c>
      <c r="F12" s="84" t="n">
        <v>0</v>
      </c>
      <c r="G12" s="85">
        <f>IFERROR(D12/D7,"")</f>
        <v/>
      </c>
      <c r="H12" s="83" t="inlineStr">
        <is>
          <t>OLED55C68</t>
        </is>
      </c>
      <c r="I12" s="108">
        <f>IF(J12="","",J12-K12)</f>
        <v/>
      </c>
      <c r="J12" s="84" t="n">
        <v>1299.95</v>
      </c>
      <c r="K12" s="84" t="n">
        <v>0</v>
      </c>
      <c r="L12" s="85">
        <f>IFERROR(I12/I7,"")</f>
        <v/>
      </c>
      <c r="M12" s="83" t="inlineStr">
        <is>
          <t>OLED55C67LA</t>
        </is>
      </c>
      <c r="N12" s="84">
        <f>IF(O12="","",O12-P12)</f>
        <v/>
      </c>
      <c r="O12" s="84" t="n">
        <v>1349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1299</v>
      </c>
      <c r="F13" s="84" t="n">
        <v>0</v>
      </c>
      <c r="G13" s="85">
        <f>IFERROR(D13/D7,"")</f>
        <v/>
      </c>
      <c r="H13" s="83" t="inlineStr">
        <is>
          <t>OLED48C68</t>
        </is>
      </c>
      <c r="I13" s="108">
        <f>IF(J13="","",J13-K13)</f>
        <v/>
      </c>
      <c r="J13" s="84" t="n">
        <v>1299.95</v>
      </c>
      <c r="K13" s="84" t="n">
        <v>0</v>
      </c>
      <c r="L13" s="85">
        <f>IFERROR(I13/I7,"")</f>
        <v/>
      </c>
      <c r="M13" s="83" t="inlineStr">
        <is>
          <t>OLED48C6ELB</t>
        </is>
      </c>
      <c r="N13" s="84">
        <f>IF(O13="","",O13-P13)</f>
        <v/>
      </c>
      <c r="O13" s="84" t="n">
        <v>1299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1199</v>
      </c>
      <c r="F14" s="84" t="n">
        <v>0</v>
      </c>
      <c r="G14" s="85">
        <f>IFERROR(D14/D7,"")</f>
        <v/>
      </c>
      <c r="H14" s="83" t="inlineStr">
        <is>
          <t>OLED42C68</t>
        </is>
      </c>
      <c r="I14" s="108">
        <f>IF(J14="","",J14-K14)</f>
        <v/>
      </c>
      <c r="J14" s="84" t="n">
        <v>999.95</v>
      </c>
      <c r="K14" s="84" t="n">
        <v>0</v>
      </c>
      <c r="L14" s="85">
        <f>IFERROR(I14/I7,"")</f>
        <v/>
      </c>
      <c r="M14" s="83" t="inlineStr">
        <is>
          <t>OLED42C67LA</t>
        </is>
      </c>
      <c r="N14" s="84">
        <f>IF(O14="","",O14-P14)</f>
        <v/>
      </c>
      <c r="O14" s="84" t="n">
        <v>1099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OLED83B6ELB</t>
        </is>
      </c>
      <c r="N16" s="84">
        <f>IF(O16="","",O16-P16)</f>
        <v/>
      </c>
      <c r="O16" s="84" t="n">
        <v>2299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2499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1899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1799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1299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1399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1099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>
        <is>
          <t>QE83S99H</t>
        </is>
      </c>
      <c r="D22" s="89">
        <f>IF(E22="","",E22-F22)</f>
        <v/>
      </c>
      <c r="E22" s="89" t="n">
        <v>5288.55</v>
      </c>
      <c r="F22" s="89" t="n">
        <v>0</v>
      </c>
      <c r="G22" s="90" t="inlineStr"/>
      <c r="H22" s="125" t="inlineStr"/>
      <c r="I22" s="109">
        <f>IF(J22="","",J22-K22)</f>
        <v/>
      </c>
      <c r="J22" s="89" t="inlineStr"/>
      <c r="K22" s="89" t="inlineStr"/>
      <c r="L22" s="90" t="inlineStr"/>
      <c r="M22" s="125" t="inlineStr"/>
      <c r="N22" s="89">
        <f>IF(O22="","",O22-P22)</f>
        <v/>
      </c>
      <c r="O22" s="89" t="inlineStr"/>
      <c r="P22" s="89" t="inlineStr"/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3799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3799.95</v>
      </c>
      <c r="K23" s="89" t="n">
        <v>0</v>
      </c>
      <c r="L23" s="90" t="inlineStr"/>
      <c r="M23" s="125" t="inlineStr">
        <is>
          <t>QE77S99HATXZU</t>
        </is>
      </c>
      <c r="N23" s="89">
        <f>IF(O23="","",O23-P23)</f>
        <v/>
      </c>
      <c r="O23" s="89" t="n">
        <v>3800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2599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2599.95</v>
      </c>
      <c r="K24" s="89" t="n">
        <v>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2600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1999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1999.95</v>
      </c>
      <c r="K25" s="89" t="n">
        <v>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2000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>
        <is>
          <t>QE77S95H</t>
        </is>
      </c>
      <c r="D28" s="89">
        <f>IF(E28="","",E28-F28)</f>
        <v/>
      </c>
      <c r="E28" s="89" t="n">
        <v>4553.7</v>
      </c>
      <c r="F28" s="89" t="n">
        <v>0</v>
      </c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>
        <is>
          <t>QE77S95HFTXZU</t>
        </is>
      </c>
      <c r="N28" s="89">
        <f>IF(O28="","",O28-P28)</f>
        <v/>
      </c>
      <c r="O28" s="89" t="n">
        <v>4328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>
        <is>
          <t>QE65S95H</t>
        </is>
      </c>
      <c r="D29" s="89">
        <f>IF(E29="","",E29-F29)</f>
        <v/>
      </c>
      <c r="E29" s="89" t="n">
        <v>3500</v>
      </c>
      <c r="F29" s="89" t="n">
        <v>0</v>
      </c>
      <c r="G29" s="90" t="inlineStr"/>
      <c r="H29" s="125" t="inlineStr">
        <is>
          <t>QE65S95H</t>
        </is>
      </c>
      <c r="I29" s="109">
        <f>IF(J29="","",J29-K29)</f>
        <v/>
      </c>
      <c r="J29" s="89" t="n">
        <v>3399.95</v>
      </c>
      <c r="K29" s="89" t="n">
        <v>0</v>
      </c>
      <c r="L29" s="90" t="inlineStr"/>
      <c r="M29" s="125" t="inlineStr">
        <is>
          <t>QE65S95HFTXZU</t>
        </is>
      </c>
      <c r="N29" s="89">
        <f>IF(O29="","",O29-P29)</f>
        <v/>
      </c>
      <c r="O29" s="89" t="n">
        <v>3329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>
        <is>
          <t>QE55S95H</t>
        </is>
      </c>
      <c r="D30" s="95">
        <f>IF(E30="","",E30-F30)</f>
        <v/>
      </c>
      <c r="E30" s="96" t="n">
        <v>2522.1</v>
      </c>
      <c r="F30" s="96" t="n">
        <v>0</v>
      </c>
      <c r="G30" s="90" t="inlineStr"/>
      <c r="H30" s="125" t="inlineStr"/>
      <c r="I30" s="110">
        <f>IF(J30="","",J30-K30)</f>
        <v/>
      </c>
      <c r="J30" s="89" t="inlineStr"/>
      <c r="K30" s="89" t="inlineStr"/>
      <c r="L30" s="90" t="inlineStr"/>
      <c r="M30" s="125" t="inlineStr"/>
      <c r="N30" s="95">
        <f>IF(O30="","",O30-P30)</f>
        <v/>
      </c>
      <c r="O30" s="96" t="inlineStr"/>
      <c r="P30" s="96" t="inlineStr"/>
      <c r="Q30" s="90" t="inlineStr"/>
    </row>
    <row r="31" ht="19.9" customHeight="1" s="55">
      <c r="A31" s="131" t="inlineStr">
        <is>
          <t>OLED</t>
        </is>
      </c>
      <c r="B31" s="131" t="inlineStr">
        <is>
          <t>48S95H</t>
        </is>
      </c>
      <c r="C31" s="132" t="inlineStr">
        <is>
          <t>QE48S95H</t>
        </is>
      </c>
      <c r="D31">
        <f>IF(E31="","",E31-F31)</f>
        <v/>
      </c>
      <c r="E31" t="n">
        <v>1985.25</v>
      </c>
      <c r="F31" t="n">
        <v>0</v>
      </c>
      <c r="G31" t="inlineStr"/>
      <c r="H31" s="132" t="inlineStr"/>
      <c r="I31">
        <f>IF(J31="","",J31-K31)</f>
        <v/>
      </c>
      <c r="J31" t="inlineStr"/>
      <c r="K31" t="inlineStr"/>
      <c r="L31" t="inlineStr"/>
      <c r="M31" s="132" t="inlineStr">
        <is>
          <t>QE48S95HAEXZU</t>
        </is>
      </c>
      <c r="N31">
        <f>IF(O31="","",O31-P31)</f>
        <v/>
      </c>
      <c r="O31" t="n">
        <v>1916</v>
      </c>
      <c r="P31" t="n">
        <v>0</v>
      </c>
      <c r="Q31" t="inlineStr"/>
    </row>
    <row r="32" ht="20" customHeight="1" s="55">
      <c r="A32" s="111" t="inlineStr"/>
      <c r="B32" s="111" t="n"/>
      <c r="C32" s="112" t="inlineStr"/>
      <c r="D32" s="116" t="inlineStr"/>
      <c r="E32" s="117" t="inlineStr"/>
      <c r="F32" s="117" t="inlineStr"/>
      <c r="G32" s="114" t="inlineStr"/>
      <c r="H32" s="112" t="inlineStr"/>
      <c r="I32" s="118" t="inlineStr"/>
      <c r="J32" s="113" t="inlineStr"/>
      <c r="K32" s="113" t="inlineStr"/>
      <c r="L32" s="114" t="inlineStr"/>
      <c r="M32" s="112" t="inlineStr"/>
      <c r="N32" s="116" t="inlineStr"/>
      <c r="O32" s="117" t="inlineStr"/>
      <c r="P32" s="117" t="inlineStr"/>
      <c r="Q32" s="114" t="inlineStr"/>
    </row>
    <row r="33" ht="20" customHeight="1" s="55">
      <c r="A33" s="124" t="inlineStr">
        <is>
          <t>OLED</t>
        </is>
      </c>
      <c r="B33" s="124" t="inlineStr">
        <is>
          <t>83S90H</t>
        </is>
      </c>
      <c r="C33" s="125" t="inlineStr">
        <is>
          <t>QE83S90H</t>
        </is>
      </c>
      <c r="D33" s="89">
        <f>IF(E33="","",E33-F33)</f>
        <v/>
      </c>
      <c r="E33" s="89" t="n">
        <v>3399</v>
      </c>
      <c r="F33" s="89" t="n">
        <v>0</v>
      </c>
      <c r="G33" s="90" t="inlineStr"/>
      <c r="H33" s="125" t="inlineStr">
        <is>
          <t>QE83S90H</t>
        </is>
      </c>
      <c r="I33" s="109">
        <f>IF(J33="","",J33-K33)</f>
        <v/>
      </c>
      <c r="J33" s="89" t="n">
        <v>3199.95</v>
      </c>
      <c r="K33" s="89" t="n">
        <v>0</v>
      </c>
      <c r="L33" s="90" t="inlineStr"/>
      <c r="M33" s="125" t="inlineStr">
        <is>
          <t>QE83S90HAEXZU</t>
        </is>
      </c>
      <c r="N33" s="89">
        <f>IF(O33="","",O33-P33)</f>
        <v/>
      </c>
      <c r="O33" s="89" t="n">
        <v>3199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77S90H</t>
        </is>
      </c>
      <c r="C34" s="125" t="inlineStr">
        <is>
          <t>QE77S90H</t>
        </is>
      </c>
      <c r="D34" s="89">
        <f>IF(E34="","",E34-F34)</f>
        <v/>
      </c>
      <c r="E34" s="89" t="n">
        <v>2699</v>
      </c>
      <c r="F34" s="89" t="n">
        <v>0</v>
      </c>
      <c r="G34" s="90" t="inlineStr"/>
      <c r="H34" s="125" t="inlineStr">
        <is>
          <t>QE77S90H</t>
        </is>
      </c>
      <c r="I34" s="109">
        <f>IF(J34="","",J34-K34)</f>
        <v/>
      </c>
      <c r="J34" s="89" t="n">
        <v>2499.95</v>
      </c>
      <c r="K34" s="89" t="n">
        <v>0</v>
      </c>
      <c r="L34" s="90" t="inlineStr"/>
      <c r="M34" s="125" t="inlineStr">
        <is>
          <t>QE77S90HATXZU</t>
        </is>
      </c>
      <c r="N34" s="89">
        <f>IF(O34="","",O34-P34)</f>
        <v/>
      </c>
      <c r="O34" s="89" t="n">
        <v>2499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65S90H</t>
        </is>
      </c>
      <c r="C35" s="125" t="inlineStr">
        <is>
          <t>QE65S90H</t>
        </is>
      </c>
      <c r="D35" s="89">
        <f>IF(E35="","",E35-F35)</f>
        <v/>
      </c>
      <c r="E35" s="89" t="n">
        <v>1699</v>
      </c>
      <c r="F35" s="89" t="n">
        <v>0</v>
      </c>
      <c r="G35" s="90" t="inlineStr"/>
      <c r="H35" s="125" t="inlineStr">
        <is>
          <t>QE65S90H</t>
        </is>
      </c>
      <c r="I35" s="109">
        <f>IF(J35="","",J35-K35)</f>
        <v/>
      </c>
      <c r="J35" s="89" t="n">
        <v>1699.95</v>
      </c>
      <c r="K35" s="89" t="n">
        <v>0</v>
      </c>
      <c r="L35" s="90" t="inlineStr"/>
      <c r="M35" s="125" t="inlineStr">
        <is>
          <t>QE65S90HAE</t>
        </is>
      </c>
      <c r="N35" s="89">
        <f>IF(O35="","",O35-P35)</f>
        <v/>
      </c>
      <c r="O35" s="89" t="n">
        <v>1699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55S90H</t>
        </is>
      </c>
      <c r="C36" s="125" t="inlineStr">
        <is>
          <t>QE55S90H</t>
        </is>
      </c>
      <c r="D36" s="89">
        <f>IF(E36="","",E36-F36)</f>
        <v/>
      </c>
      <c r="E36" s="89" t="n">
        <v>1299</v>
      </c>
      <c r="F36" s="89" t="n">
        <v>0</v>
      </c>
      <c r="G36" s="90" t="inlineStr"/>
      <c r="H36" s="125" t="inlineStr">
        <is>
          <t>QE55S90H</t>
        </is>
      </c>
      <c r="I36" s="109">
        <f>IF(J36="","",J36-K36)</f>
        <v/>
      </c>
      <c r="J36" s="89" t="n">
        <v>1299.95</v>
      </c>
      <c r="K36" s="89" t="n">
        <v>0</v>
      </c>
      <c r="L36" s="90" t="inlineStr"/>
      <c r="M36" s="125" t="inlineStr">
        <is>
          <t>QE55S90HAEXZU</t>
        </is>
      </c>
      <c r="N36" s="89">
        <f>IF(O36="","",O36-P36)</f>
        <v/>
      </c>
      <c r="O36" s="89" t="n">
        <v>1299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48S90H</t>
        </is>
      </c>
      <c r="C37" s="125" t="inlineStr">
        <is>
          <t>QE48S90H</t>
        </is>
      </c>
      <c r="D37" s="95">
        <f>IF(E37="","",E37-F37)</f>
        <v/>
      </c>
      <c r="E37" s="89" t="n">
        <v>1199</v>
      </c>
      <c r="F37" s="89" t="n">
        <v>0</v>
      </c>
      <c r="G37" s="90" t="inlineStr"/>
      <c r="H37" s="125" t="inlineStr">
        <is>
          <t>QE48S90H</t>
        </is>
      </c>
      <c r="I37" s="110">
        <f>IF(J37="","",J37-K37)</f>
        <v/>
      </c>
      <c r="J37" s="89" t="n">
        <v>1149.95</v>
      </c>
      <c r="K37" s="89" t="n">
        <v>0</v>
      </c>
      <c r="L37" s="90" t="inlineStr"/>
      <c r="M37" s="125" t="inlineStr">
        <is>
          <t>QE48S90HAEXZU</t>
        </is>
      </c>
      <c r="N37" s="95">
        <f>IF(O37="","",O37-P37)</f>
        <v/>
      </c>
      <c r="O37" s="89" t="n">
        <v>1139</v>
      </c>
      <c r="P37" s="89" t="n">
        <v>0</v>
      </c>
      <c r="Q37" s="90" t="inlineStr"/>
    </row>
    <row r="38" ht="19.9" customHeight="1" s="55">
      <c r="A38" s="124" t="inlineStr">
        <is>
          <t>OLED</t>
        </is>
      </c>
      <c r="B38" s="124" t="inlineStr">
        <is>
          <t>42S90H</t>
        </is>
      </c>
      <c r="C38" s="125" t="inlineStr">
        <is>
          <t>QE42S90H</t>
        </is>
      </c>
      <c r="D38" s="89">
        <f>IF(E38="","",E38-F38)</f>
        <v/>
      </c>
      <c r="E38" s="89" t="n">
        <v>1100</v>
      </c>
      <c r="F38" s="89" t="n">
        <v>0</v>
      </c>
      <c r="G38" s="90" t="inlineStr"/>
      <c r="H38" s="125" t="inlineStr">
        <is>
          <t>QE42S90H</t>
        </is>
      </c>
      <c r="I38" s="109">
        <f>IF(J38="","",J38-K38)</f>
        <v/>
      </c>
      <c r="J38" s="89" t="n">
        <v>1099.95</v>
      </c>
      <c r="K38" s="89" t="n">
        <v>0</v>
      </c>
      <c r="L38" s="90" t="inlineStr"/>
      <c r="M38" s="125" t="inlineStr">
        <is>
          <t>QE42S90HAEXXN</t>
        </is>
      </c>
      <c r="N38" s="89">
        <f>IF(O38="","",O38-P38)</f>
        <v/>
      </c>
      <c r="O38" s="89" t="n">
        <v>1100</v>
      </c>
      <c r="P38" s="89" t="n">
        <v>0</v>
      </c>
      <c r="Q38" s="90" t="inlineStr"/>
    </row>
    <row r="39" ht="20" customHeight="1" s="55">
      <c r="A39" s="111" t="inlineStr"/>
      <c r="B39" s="111" t="n"/>
      <c r="C39" s="112" t="inlineStr"/>
      <c r="D39" s="113" t="inlineStr"/>
      <c r="E39" s="113" t="inlineStr"/>
      <c r="F39" s="113" t="inlineStr"/>
      <c r="G39" s="114" t="inlineStr"/>
      <c r="H39" s="112" t="inlineStr"/>
      <c r="I39" s="115" t="inlineStr"/>
      <c r="J39" s="113" t="inlineStr"/>
      <c r="K39" s="113" t="inlineStr"/>
      <c r="L39" s="114" t="inlineStr"/>
      <c r="M39" s="112" t="inlineStr"/>
      <c r="N39" s="113" t="inlineStr"/>
      <c r="O39" s="113" t="inlineStr"/>
      <c r="P39" s="113" t="inlineStr"/>
      <c r="Q39" s="114" t="inlineStr"/>
    </row>
    <row r="40" ht="20" customHeight="1" s="55">
      <c r="A40" s="124" t="inlineStr">
        <is>
          <t>OLED</t>
        </is>
      </c>
      <c r="B40" s="124" t="inlineStr">
        <is>
          <t>83S85H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QE83S85H</t>
        </is>
      </c>
      <c r="I40" s="109">
        <f>IF(J40="","",J40-K40)</f>
        <v/>
      </c>
      <c r="J40" s="89" t="n">
        <v>3099.95</v>
      </c>
      <c r="K40" s="89" t="n">
        <v>0</v>
      </c>
      <c r="L40" s="90" t="inlineStr"/>
      <c r="M40" s="125" t="inlineStr">
        <is>
          <t>QE83S85HAEXZU</t>
        </is>
      </c>
      <c r="N40" s="89">
        <f>IF(O40="","",O40-P40)</f>
        <v/>
      </c>
      <c r="O40" s="89" t="n">
        <v>3093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77S85H</t>
        </is>
      </c>
      <c r="C41" s="125" t="inlineStr">
        <is>
          <t>QE77S85H</t>
        </is>
      </c>
      <c r="D41" s="89">
        <f>IF(E41="","",E41-F41)</f>
        <v/>
      </c>
      <c r="E41" s="89" t="n">
        <v>3258</v>
      </c>
      <c r="F41" s="89" t="n">
        <v>0</v>
      </c>
      <c r="G41" s="90" t="inlineStr"/>
      <c r="H41" s="125" t="inlineStr">
        <is>
          <t>QE77S85H</t>
        </is>
      </c>
      <c r="I41" s="109">
        <f>IF(J41="","",J41-K41)</f>
        <v/>
      </c>
      <c r="J41" s="89" t="n">
        <v>2999.95</v>
      </c>
      <c r="K41" s="89" t="n">
        <v>0</v>
      </c>
      <c r="L41" s="90" t="inlineStr"/>
      <c r="M41" s="125" t="inlineStr"/>
      <c r="N41" s="89">
        <f>IF(O41="","",O41-P41)</f>
        <v/>
      </c>
      <c r="O41" s="89" t="inlineStr"/>
      <c r="P41" s="89" t="inlineStr"/>
      <c r="Q41" s="90" t="inlineStr"/>
    </row>
    <row r="42" ht="20" customHeight="1" s="55">
      <c r="A42" s="124" t="inlineStr">
        <is>
          <t>OLED</t>
        </is>
      </c>
      <c r="B42" s="124" t="inlineStr">
        <is>
          <t>65S85H</t>
        </is>
      </c>
      <c r="C42" s="125" t="inlineStr">
        <is>
          <t>QE65S85H</t>
        </is>
      </c>
      <c r="D42" s="89">
        <f>IF(E42="","",E42-F42)</f>
        <v/>
      </c>
      <c r="E42" s="89" t="n">
        <v>1816.95</v>
      </c>
      <c r="F42" s="89" t="n">
        <v>0</v>
      </c>
      <c r="G42" s="90" t="inlineStr"/>
      <c r="H42" s="125" t="inlineStr">
        <is>
          <t>QE65S85H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>
        <is>
          <t>QE65S85HAEXZU</t>
        </is>
      </c>
      <c r="N42" s="89">
        <f>IF(O42="","",O42-P42)</f>
        <v/>
      </c>
      <c r="O42" s="89" t="n">
        <v>1633</v>
      </c>
      <c r="P42" s="89" t="n">
        <v>0</v>
      </c>
      <c r="Q42" s="90" t="inlineStr"/>
    </row>
    <row r="43" ht="20" customHeight="1" s="55">
      <c r="A43" s="124" t="inlineStr">
        <is>
          <t>OLED</t>
        </is>
      </c>
      <c r="B43" s="124" t="inlineStr">
        <is>
          <t>55S85H</t>
        </is>
      </c>
      <c r="C43" s="125" t="inlineStr">
        <is>
          <t>QE55S85H</t>
        </is>
      </c>
      <c r="D43" s="89">
        <f>IF(E43="","",E43-F43)</f>
        <v/>
      </c>
      <c r="E43" s="89" t="n">
        <v>1807.75</v>
      </c>
      <c r="F43" s="89" t="n">
        <v>0</v>
      </c>
      <c r="G43" s="90" t="inlineStr"/>
      <c r="H43" s="125" t="inlineStr">
        <is>
          <t>QE55S85H</t>
        </is>
      </c>
      <c r="I43" s="109">
        <f>IF(J43="","",J43-K43)</f>
        <v/>
      </c>
      <c r="J43" s="89" t="n">
        <v>1699.95</v>
      </c>
      <c r="K43" s="89" t="n">
        <v>0</v>
      </c>
      <c r="L43" s="90" t="inlineStr"/>
      <c r="M43" s="125" t="inlineStr"/>
      <c r="N43" s="89">
        <f>IF(O43="","",O43-P43)</f>
        <v/>
      </c>
      <c r="O43" s="89" t="inlineStr"/>
      <c r="P43" s="89" t="inlineStr"/>
      <c r="Q43" s="90" t="inlineStr"/>
    </row>
    <row r="44" ht="19.9" customHeight="1" s="55">
      <c r="A44" s="124" t="inlineStr">
        <is>
          <t>OLED</t>
        </is>
      </c>
      <c r="B44" s="124" t="inlineStr">
        <is>
          <t>48S85H</t>
        </is>
      </c>
      <c r="C44" s="125" t="inlineStr">
        <is>
          <t>QE48S85H</t>
        </is>
      </c>
      <c r="D44" s="89">
        <f>IF(E44="","",E44-F44)</f>
        <v/>
      </c>
      <c r="E44" s="89" t="n">
        <v>1398.8</v>
      </c>
      <c r="F44" s="89" t="n">
        <v>0</v>
      </c>
      <c r="G44" s="90" t="inlineStr"/>
      <c r="H44" s="125" t="inlineStr">
        <is>
          <t>QE48S85H</t>
        </is>
      </c>
      <c r="I44" s="109">
        <f>IF(J44="","",J44-K44)</f>
        <v/>
      </c>
      <c r="J44" s="89" t="n">
        <v>1399.95</v>
      </c>
      <c r="K44" s="89" t="n">
        <v>0</v>
      </c>
      <c r="L44" s="90" t="inlineStr"/>
      <c r="M44" s="125" t="inlineStr">
        <is>
          <t>QE48S85HAEXXN</t>
        </is>
      </c>
      <c r="N44" s="89">
        <f>IF(O44="","",O44-P44)</f>
        <v/>
      </c>
      <c r="O44" s="89" t="n">
        <v>1383</v>
      </c>
      <c r="P44" s="89" t="n">
        <v>0</v>
      </c>
      <c r="Q44" s="90" t="inlineStr"/>
    </row>
    <row r="45" ht="20" customHeight="1" s="55">
      <c r="A45" s="111" t="inlineStr"/>
      <c r="B45" s="111" t="n"/>
      <c r="C45" s="112" t="inlineStr"/>
      <c r="D45" s="113" t="inlineStr"/>
      <c r="E45" s="113" t="inlineStr"/>
      <c r="F45" s="113" t="inlineStr"/>
      <c r="G45" s="114" t="inlineStr"/>
      <c r="H45" s="112" t="inlineStr"/>
      <c r="I45" s="113" t="inlineStr"/>
      <c r="J45" s="113" t="inlineStr"/>
      <c r="K45" s="113" t="inlineStr"/>
      <c r="L45" s="114" t="inlineStr"/>
      <c r="M45" s="112" t="inlineStr"/>
      <c r="N45" s="113" t="inlineStr"/>
      <c r="O45" s="113" t="inlineStr"/>
      <c r="P45" s="113" t="inlineStr"/>
      <c r="Q45" s="114" t="inlineStr"/>
    </row>
    <row r="46" ht="20" customHeight="1" s="55">
      <c r="A46" s="130" t="inlineStr">
        <is>
          <t>MRGB</t>
        </is>
      </c>
      <c r="B46" s="130" t="inlineStr">
        <is>
          <t>86MRGB95</t>
        </is>
      </c>
      <c r="C46" s="88" t="inlineStr">
        <is>
          <t>86MRGB96B9B</t>
        </is>
      </c>
      <c r="D46" s="95">
        <f>IF(E46="","",E46-F46)</f>
        <v/>
      </c>
      <c r="E46" s="96" t="n">
        <v>7364.2</v>
      </c>
      <c r="F46" s="96" t="n">
        <v>0</v>
      </c>
      <c r="G46" s="90">
        <f>IFERROR(D46/D4,"")</f>
        <v/>
      </c>
      <c r="H46" s="88" t="inlineStr"/>
      <c r="I46" s="95">
        <f>IF(J46="","",J46-K46)</f>
        <v/>
      </c>
      <c r="J46" s="96" t="inlineStr"/>
      <c r="K46" s="96" t="inlineStr"/>
      <c r="L46" s="90">
        <f>IFERROR(I46/I4,"")</f>
        <v/>
      </c>
      <c r="M46" s="88" t="inlineStr"/>
      <c r="N46" s="95">
        <f>IF(O46="","",O46-P46)</f>
        <v/>
      </c>
      <c r="O46" s="96" t="inlineStr"/>
      <c r="P46" s="96" t="inlineStr"/>
      <c r="Q46" s="90">
        <f>IFERROR(N46/N4,"")</f>
        <v/>
      </c>
    </row>
    <row r="47" ht="19.9" customFormat="1" customHeight="1" s="2">
      <c r="A47" s="130" t="inlineStr">
        <is>
          <t>MRGB</t>
        </is>
      </c>
      <c r="B47" s="130" t="inlineStr">
        <is>
          <t>75MRGB95</t>
        </is>
      </c>
      <c r="C47" s="88" t="inlineStr">
        <is>
          <t>75MRGB96B9B</t>
        </is>
      </c>
      <c r="D47" s="89">
        <f>IF(E47="","",E47-F47)</f>
        <v/>
      </c>
      <c r="E47" s="89" t="n">
        <v>5258.95</v>
      </c>
      <c r="F47" s="89" t="n">
        <v>0</v>
      </c>
      <c r="G47" s="90">
        <f>IFERROR(D47/D5,"")</f>
        <v/>
      </c>
      <c r="H47" s="88" t="inlineStr"/>
      <c r="I47" s="89">
        <f>IF(J47="","",J47-K47)</f>
        <v/>
      </c>
      <c r="J47" s="89" t="inlineStr"/>
      <c r="K47" s="89" t="inlineStr"/>
      <c r="L47" s="90">
        <f>IFERROR(I47/I5,"")</f>
        <v/>
      </c>
      <c r="M47" s="88" t="inlineStr">
        <is>
          <t>75MRGB96B9B</t>
        </is>
      </c>
      <c r="N47" s="89">
        <f>IF(O47="","",O47-P47)</f>
        <v/>
      </c>
      <c r="O47" s="89" t="n">
        <v>2999</v>
      </c>
      <c r="P47" s="89" t="n">
        <v>0</v>
      </c>
      <c r="Q47" s="90">
        <f>IFERROR(N47/N5,"")</f>
        <v/>
      </c>
    </row>
    <row r="48" ht="20" customHeight="1" s="55">
      <c r="A48" s="105" t="inlineStr"/>
      <c r="B48" s="105" t="n"/>
      <c r="C48" s="92" t="inlineStr"/>
      <c r="D48" s="93" t="inlineStr"/>
      <c r="E48" s="93" t="inlineStr"/>
      <c r="F48" s="93" t="inlineStr"/>
      <c r="G48" s="94" t="inlineStr"/>
      <c r="H48" s="92" t="inlineStr"/>
      <c r="I48" s="93" t="inlineStr"/>
      <c r="J48" s="93" t="inlineStr"/>
      <c r="K48" s="93" t="inlineStr"/>
      <c r="L48" s="94" t="inlineStr"/>
      <c r="M48" s="92" t="inlineStr"/>
      <c r="N48" s="93" t="inlineStr"/>
      <c r="O48" s="93" t="inlineStr"/>
      <c r="P48" s="93" t="inlineStr"/>
      <c r="Q48" s="94" t="inlineStr"/>
    </row>
    <row r="49" ht="20" customHeight="1" s="55">
      <c r="A49" s="130" t="inlineStr">
        <is>
          <t>MRGB</t>
        </is>
      </c>
      <c r="B49" s="130" t="inlineStr">
        <is>
          <t>86MRGB85</t>
        </is>
      </c>
      <c r="C49" s="88" t="inlineStr">
        <is>
          <t>86MRGB87B9B</t>
        </is>
      </c>
      <c r="D49" s="89">
        <f>IF(E49="","",E49-F49)</f>
        <v/>
      </c>
      <c r="E49" s="89" t="n">
        <v>1999</v>
      </c>
      <c r="F49" s="89" t="n">
        <v>0</v>
      </c>
      <c r="G49" s="90">
        <f>IFERROR(D49/D4,"")</f>
        <v/>
      </c>
      <c r="H49" s="88" t="inlineStr">
        <is>
          <t>86MRGB87B</t>
        </is>
      </c>
      <c r="I49" s="89">
        <f>IF(J49="","",J49-K49)</f>
        <v/>
      </c>
      <c r="J49" s="89" t="n">
        <v>1799.95</v>
      </c>
      <c r="K49" s="89" t="n">
        <v>0</v>
      </c>
      <c r="L49" s="90">
        <f>IFERROR(I49/I4,"")</f>
        <v/>
      </c>
      <c r="M49" s="88" t="inlineStr">
        <is>
          <t>86MRGB87B9B</t>
        </is>
      </c>
      <c r="N49" s="89">
        <f>IF(O49="","",O49-P49)</f>
        <v/>
      </c>
      <c r="O49" s="89" t="n">
        <v>1899</v>
      </c>
      <c r="P49" s="89" t="n">
        <v>0</v>
      </c>
      <c r="Q49" s="90">
        <f>IFERROR(N49/N4,"")</f>
        <v/>
      </c>
    </row>
    <row r="50" ht="20" customHeight="1" s="55">
      <c r="A50" s="130" t="inlineStr">
        <is>
          <t>MRGB</t>
        </is>
      </c>
      <c r="B50" s="130" t="inlineStr">
        <is>
          <t>75MRGB85</t>
        </is>
      </c>
      <c r="C50" s="88" t="inlineStr">
        <is>
          <t>75MRGB87B9B</t>
        </is>
      </c>
      <c r="D50" s="89">
        <f>IF(E50="","",E50-F50)</f>
        <v/>
      </c>
      <c r="E50" s="89" t="n">
        <v>1599</v>
      </c>
      <c r="F50" s="89" t="n">
        <v>0</v>
      </c>
      <c r="G50" s="90">
        <f>IFERROR(D50/D5,"")</f>
        <v/>
      </c>
      <c r="H50" s="88" t="inlineStr">
        <is>
          <t>75MRGB87B</t>
        </is>
      </c>
      <c r="I50" s="89">
        <f>IF(J50="","",J50-K50)</f>
        <v/>
      </c>
      <c r="J50" s="89" t="n">
        <v>1499.95</v>
      </c>
      <c r="K50" s="89" t="n">
        <v>0</v>
      </c>
      <c r="L50" s="90">
        <f>IFERROR(I50/I5,"")</f>
        <v/>
      </c>
      <c r="M50" s="88" t="inlineStr">
        <is>
          <t>75MRGB86B9A</t>
        </is>
      </c>
      <c r="N50" s="89">
        <f>IF(O50="","",O50-P50)</f>
        <v/>
      </c>
      <c r="O50" s="89" t="n">
        <v>1599</v>
      </c>
      <c r="P50" s="89" t="n">
        <v>0</v>
      </c>
      <c r="Q50" s="90">
        <f>IFERROR(N50/N5,"")</f>
        <v/>
      </c>
    </row>
    <row r="51" ht="20" customHeight="1" s="55">
      <c r="A51" s="130" t="inlineStr">
        <is>
          <t>MRGB</t>
        </is>
      </c>
      <c r="B51" s="130" t="inlineStr">
        <is>
          <t>65MRGB85</t>
        </is>
      </c>
      <c r="C51" s="88" t="inlineStr">
        <is>
          <t>65MRGB87B9B</t>
        </is>
      </c>
      <c r="D51" s="95">
        <f>IF(E51="","",E51-F51)</f>
        <v/>
      </c>
      <c r="E51" s="96" t="n">
        <v>1199</v>
      </c>
      <c r="F51" s="96" t="n">
        <v>0</v>
      </c>
      <c r="G51" s="90">
        <f>IFERROR(D51/D6,"")</f>
        <v/>
      </c>
      <c r="H51" s="88" t="inlineStr">
        <is>
          <t>65MRGB87B</t>
        </is>
      </c>
      <c r="I51" s="95">
        <f>IF(J51="","",J51-K51)</f>
        <v/>
      </c>
      <c r="J51" s="89" t="n">
        <v>1199.95</v>
      </c>
      <c r="K51" s="89" t="n">
        <v>0</v>
      </c>
      <c r="L51" s="90">
        <f>IFERROR(I51/I6,"")</f>
        <v/>
      </c>
      <c r="M51" s="88" t="inlineStr">
        <is>
          <t>65MRGB87B9B</t>
        </is>
      </c>
      <c r="N51" s="95">
        <f>IF(O51="","",O51-P51)</f>
        <v/>
      </c>
      <c r="O51" s="96" t="n">
        <v>1229</v>
      </c>
      <c r="P51" s="96" t="n">
        <v>0</v>
      </c>
      <c r="Q51" s="90">
        <f>IFERROR(N51/N6,"")</f>
        <v/>
      </c>
    </row>
    <row r="52" ht="20" customHeight="1" s="55">
      <c r="A52" s="130" t="inlineStr">
        <is>
          <t>MRGB</t>
        </is>
      </c>
      <c r="B52" s="130" t="inlineStr">
        <is>
          <t>55MRGB85</t>
        </is>
      </c>
      <c r="C52" s="88" t="inlineStr">
        <is>
          <t>55MRGB87B9B</t>
        </is>
      </c>
      <c r="D52" s="89">
        <f>IF(E52="","",E52-F52)</f>
        <v/>
      </c>
      <c r="E52" s="89" t="n">
        <v>899</v>
      </c>
      <c r="F52" s="89" t="n">
        <v>0</v>
      </c>
      <c r="G52" s="90">
        <f>IFERROR(D52/D7,"")</f>
        <v/>
      </c>
      <c r="H52" s="88" t="inlineStr">
        <is>
          <t>55MRGB87B</t>
        </is>
      </c>
      <c r="I52" s="89">
        <f>IF(J52="","",J52-K52)</f>
        <v/>
      </c>
      <c r="J52" s="89" t="n">
        <v>899.95</v>
      </c>
      <c r="K52" s="89" t="n">
        <v>0</v>
      </c>
      <c r="L52" s="90">
        <f>IFERROR(I52/I7,"")</f>
        <v/>
      </c>
      <c r="M52" s="88" t="inlineStr">
        <is>
          <t>55MRGB86B9A</t>
        </is>
      </c>
      <c r="N52" s="89">
        <f>IF(O52="","",O52-P52)</f>
        <v/>
      </c>
      <c r="O52" s="89" t="n">
        <v>999</v>
      </c>
      <c r="P52" s="89" t="n">
        <v>0</v>
      </c>
      <c r="Q52" s="90">
        <f>IFERROR(N52/N7,"")</f>
        <v/>
      </c>
    </row>
    <row r="53" ht="19.9" customHeight="1" s="55">
      <c r="A53" s="130" t="inlineStr">
        <is>
          <t>MRGB</t>
        </is>
      </c>
      <c r="B53" s="130" t="inlineStr">
        <is>
          <t>50MRGB85</t>
        </is>
      </c>
      <c r="C53" s="88" t="inlineStr">
        <is>
          <t>50MRGB87B9B</t>
        </is>
      </c>
      <c r="D53" s="89">
        <f>IF(E53="","",E53-F53)</f>
        <v/>
      </c>
      <c r="E53" s="89" t="n">
        <v>739</v>
      </c>
      <c r="F53" s="89" t="n">
        <v>0</v>
      </c>
      <c r="G53" s="90">
        <f>IFERROR(D53/D7,"")</f>
        <v/>
      </c>
      <c r="H53" s="88" t="inlineStr">
        <is>
          <t>50MRGB87B</t>
        </is>
      </c>
      <c r="I53" s="89">
        <f>IF(J53="","",J53-K53)</f>
        <v/>
      </c>
      <c r="J53" s="89" t="n">
        <v>799.95</v>
      </c>
      <c r="K53" s="89" t="n">
        <v>0</v>
      </c>
      <c r="L53" s="90">
        <f>IFERROR(I53/I7,"")</f>
        <v/>
      </c>
      <c r="M53" s="88" t="inlineStr">
        <is>
          <t>50MRGB87B9B</t>
        </is>
      </c>
      <c r="N53" s="89">
        <f>IF(O53="","",O53-P53)</f>
        <v/>
      </c>
      <c r="O53" s="89" t="n">
        <v>769</v>
      </c>
      <c r="P53" s="89" t="n">
        <v>0</v>
      </c>
      <c r="Q53" s="90">
        <f>IFERROR(N53/N7,"")</f>
        <v/>
      </c>
    </row>
    <row r="54" ht="20" customHeight="1" s="55">
      <c r="A54" s="111" t="inlineStr"/>
      <c r="B54" s="111" t="n"/>
      <c r="C54" s="112" t="inlineStr"/>
      <c r="D54" s="113" t="inlineStr"/>
      <c r="E54" s="113" t="inlineStr"/>
      <c r="F54" s="113" t="inlineStr"/>
      <c r="G54" s="114" t="inlineStr"/>
      <c r="H54" s="112" t="inlineStr"/>
      <c r="I54" s="113" t="inlineStr"/>
      <c r="J54" s="113" t="inlineStr"/>
      <c r="K54" s="113" t="inlineStr"/>
      <c r="L54" s="114" t="inlineStr"/>
      <c r="M54" s="112" t="inlineStr"/>
      <c r="N54" s="113" t="inlineStr"/>
      <c r="O54" s="113" t="inlineStr"/>
      <c r="P54" s="113" t="inlineStr"/>
      <c r="Q54" s="114" t="inlineStr"/>
    </row>
    <row r="55" ht="20" customHeight="1" s="55">
      <c r="A55" s="130" t="inlineStr">
        <is>
          <t>QNED</t>
        </is>
      </c>
      <c r="B55" s="130" t="inlineStr">
        <is>
          <t>85QNED93</t>
        </is>
      </c>
      <c r="C55" s="88" t="inlineStr"/>
      <c r="D55" s="95">
        <f>IF(E55="","",E55-F55)</f>
        <v/>
      </c>
      <c r="E55" s="96" t="inlineStr"/>
      <c r="F55" s="96" t="inlineStr"/>
      <c r="G55" s="90">
        <f>IFERROR(D55/D4,"")</f>
        <v/>
      </c>
      <c r="H55" s="88" t="inlineStr"/>
      <c r="I55" s="95">
        <f>IF(J55="","",J55-K55)</f>
        <v/>
      </c>
      <c r="J55" s="96" t="inlineStr"/>
      <c r="K55" s="96" t="inlineStr"/>
      <c r="L55" s="90">
        <f>IFERROR(I55/I4,"")</f>
        <v/>
      </c>
      <c r="M55" s="88" t="inlineStr"/>
      <c r="N55" s="95">
        <f>IF(O55="","",O55-P55)</f>
        <v/>
      </c>
      <c r="O55" s="96" t="inlineStr"/>
      <c r="P55" s="96" t="inlineStr"/>
      <c r="Q55" s="90">
        <f>IFERROR(N55/N4,"")</f>
        <v/>
      </c>
    </row>
    <row r="56" ht="20" customHeight="1" s="55">
      <c r="A56" s="130" t="inlineStr">
        <is>
          <t>QNED</t>
        </is>
      </c>
      <c r="B56" s="130" t="inlineStr">
        <is>
          <t>75QNED93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IFERROR(D56/D5,"")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IFERROR(I56/I5,"")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IFERROR(N56/N5,"")</f>
        <v/>
      </c>
    </row>
    <row r="57" ht="20" customHeight="1" s="55">
      <c r="A57" s="130" t="inlineStr">
        <is>
          <t>QNED</t>
        </is>
      </c>
      <c r="B57" s="130" t="inlineStr">
        <is>
          <t>65QNED93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IFERROR(D57/D6,"")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IFERROR(I57/I6,"")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IFERROR(N57/N6,"")</f>
        <v/>
      </c>
    </row>
    <row r="58" ht="19.9" customHeight="1" s="55">
      <c r="A58" s="130" t="inlineStr">
        <is>
          <t>QNED</t>
        </is>
      </c>
      <c r="B58" s="130" t="inlineStr">
        <is>
          <t>55QNED93</t>
        </is>
      </c>
      <c r="C58" s="88" t="inlineStr"/>
      <c r="D58" s="89">
        <f>IF(E58="","",E58-F58)</f>
        <v/>
      </c>
      <c r="E58" s="89" t="inlineStr"/>
      <c r="F58" s="89" t="inlineStr"/>
      <c r="G58" s="90">
        <f>IFERROR(D58/D7,"")</f>
        <v/>
      </c>
      <c r="H58" s="88" t="inlineStr"/>
      <c r="I58" s="89">
        <f>IF(J58="","",J58-K58)</f>
        <v/>
      </c>
      <c r="J58" s="89" t="inlineStr"/>
      <c r="K58" s="89" t="inlineStr"/>
      <c r="L58" s="90">
        <f>IFERROR(I58/I7,"")</f>
        <v/>
      </c>
      <c r="M58" s="88" t="inlineStr"/>
      <c r="N58" s="89">
        <f>IF(O58="","",O58-P58)</f>
        <v/>
      </c>
      <c r="O58" s="89" t="inlineStr"/>
      <c r="P58" s="89" t="inlineStr"/>
      <c r="Q58" s="90">
        <f>IFERROR(N58/N7,"")</f>
        <v/>
      </c>
    </row>
    <row r="59" ht="20" customHeight="1" s="55">
      <c r="A59" s="105" t="inlineStr"/>
      <c r="B59" s="105" t="n"/>
      <c r="C59" s="92" t="inlineStr"/>
      <c r="D59" s="93" t="inlineStr"/>
      <c r="E59" s="93" t="inlineStr"/>
      <c r="F59" s="93" t="inlineStr"/>
      <c r="G59" s="94" t="inlineStr"/>
      <c r="H59" s="92" t="inlineStr"/>
      <c r="I59" s="93" t="inlineStr"/>
      <c r="J59" s="93" t="inlineStr"/>
      <c r="K59" s="93" t="inlineStr"/>
      <c r="L59" s="94" t="inlineStr"/>
      <c r="M59" s="92" t="inlineStr"/>
      <c r="N59" s="93" t="inlineStr"/>
      <c r="O59" s="93" t="inlineStr"/>
      <c r="P59" s="93" t="inlineStr"/>
      <c r="Q59" s="94" t="inlineStr"/>
    </row>
    <row r="60" ht="20" customHeight="1" s="55">
      <c r="A60" s="123" t="inlineStr">
        <is>
          <t>QNED</t>
        </is>
      </c>
      <c r="B60" s="123" t="inlineStr">
        <is>
          <t>86QNED85</t>
        </is>
      </c>
      <c r="C60" s="83" t="inlineStr">
        <is>
          <t>86QNED86B6B</t>
        </is>
      </c>
      <c r="D60" s="84">
        <f>IF(E60="","",E60-F60)</f>
        <v/>
      </c>
      <c r="E60" s="84" t="n">
        <v>1599</v>
      </c>
      <c r="F60" s="84" t="n">
        <v>0</v>
      </c>
      <c r="G60" s="85">
        <f>IFERROR(D60/D4,"")</f>
        <v/>
      </c>
      <c r="H60" s="83" t="inlineStr">
        <is>
          <t>86QNED86B</t>
        </is>
      </c>
      <c r="I60" s="84">
        <f>IF(J60="","",J60-K60)</f>
        <v/>
      </c>
      <c r="J60" s="84" t="n">
        <v>1499.95</v>
      </c>
      <c r="K60" s="84" t="n">
        <v>0</v>
      </c>
      <c r="L60" s="85">
        <f>IFERROR(I60/I4,"")</f>
        <v/>
      </c>
      <c r="M60" s="83" t="inlineStr"/>
      <c r="N60" s="84">
        <f>IF(O60="","",O60-P60)</f>
        <v/>
      </c>
      <c r="O60" s="84" t="inlineStr"/>
      <c r="P60" s="84" t="inlineStr"/>
      <c r="Q60" s="85">
        <f>IFERROR(N60/N4,"")</f>
        <v/>
      </c>
    </row>
    <row r="61" ht="20" customHeight="1" s="55">
      <c r="A61" s="123" t="inlineStr">
        <is>
          <t>QNED</t>
        </is>
      </c>
      <c r="B61" s="123" t="inlineStr">
        <is>
          <t>75QNED85</t>
        </is>
      </c>
      <c r="C61" s="83" t="inlineStr">
        <is>
          <t>75QNED86B6B</t>
        </is>
      </c>
      <c r="D61" s="103">
        <f>IF(E61="","",E61-F61)</f>
        <v/>
      </c>
      <c r="E61" s="84" t="n">
        <v>1399</v>
      </c>
      <c r="F61" s="84" t="n">
        <v>0</v>
      </c>
      <c r="G61" s="85">
        <f>IFERROR(D61/D5,"")</f>
        <v/>
      </c>
      <c r="H61" s="83" t="inlineStr"/>
      <c r="I61" s="103">
        <f>IF(J61="","",J61-K61)</f>
        <v/>
      </c>
      <c r="J61" s="84" t="inlineStr"/>
      <c r="K61" s="84" t="inlineStr"/>
      <c r="L61" s="85">
        <f>IFERROR(I61/I5,"")</f>
        <v/>
      </c>
      <c r="M61" s="83" t="inlineStr"/>
      <c r="N61" s="103">
        <f>IF(O61="","",O61-P61)</f>
        <v/>
      </c>
      <c r="O61" s="104" t="inlineStr"/>
      <c r="P61" s="104" t="inlineStr"/>
      <c r="Q61" s="85">
        <f>IFERROR(N61/N5,"")</f>
        <v/>
      </c>
    </row>
    <row r="62" ht="20" customHeight="1" s="55">
      <c r="A62" s="123" t="inlineStr">
        <is>
          <t>QNED</t>
        </is>
      </c>
      <c r="B62" s="123" t="inlineStr">
        <is>
          <t>65QNED85</t>
        </is>
      </c>
      <c r="C62" s="83" t="inlineStr">
        <is>
          <t>65QNED86B6B</t>
        </is>
      </c>
      <c r="D62" s="84">
        <f>IF(E62="","",E62-F62)</f>
        <v/>
      </c>
      <c r="E62" s="84" t="n">
        <v>999</v>
      </c>
      <c r="F62" s="84" t="n">
        <v>0</v>
      </c>
      <c r="G62" s="85">
        <f>IFERROR(D62/D6,"")</f>
        <v/>
      </c>
      <c r="H62" s="83" t="inlineStr">
        <is>
          <t>65QNED86B</t>
        </is>
      </c>
      <c r="I62" s="84">
        <f>IF(J62="","",J62-K62)</f>
        <v/>
      </c>
      <c r="J62" s="84" t="n">
        <v>899.95</v>
      </c>
      <c r="K62" s="84" t="n">
        <v>0</v>
      </c>
      <c r="L62" s="85">
        <f>IFERROR(I62/I6,"")</f>
        <v/>
      </c>
      <c r="M62" s="83" t="inlineStr">
        <is>
          <t>65QNED86B6B</t>
        </is>
      </c>
      <c r="N62" s="84">
        <f>IF(O62="","",O62-P62)</f>
        <v/>
      </c>
      <c r="O62" s="84" t="n">
        <v>999</v>
      </c>
      <c r="P62" s="84" t="n">
        <v>0</v>
      </c>
      <c r="Q62" s="85">
        <f>IFERROR(N62/N6,"")</f>
        <v/>
      </c>
    </row>
    <row r="63" ht="20" customHeight="1" s="55">
      <c r="A63" s="123" t="inlineStr">
        <is>
          <t>QNED</t>
        </is>
      </c>
      <c r="B63" s="123" t="inlineStr">
        <is>
          <t>55QNED85</t>
        </is>
      </c>
      <c r="C63" s="83" t="inlineStr">
        <is>
          <t>55QNED86B6B</t>
        </is>
      </c>
      <c r="D63" s="84">
        <f>IF(E63="","",E63-F63)</f>
        <v/>
      </c>
      <c r="E63" s="84" t="n">
        <v>699</v>
      </c>
      <c r="F63" s="84" t="n">
        <v>0</v>
      </c>
      <c r="G63" s="85">
        <f>IFERROR(D63/D7,"")</f>
        <v/>
      </c>
      <c r="H63" s="83" t="inlineStr">
        <is>
          <t>55QNED86B</t>
        </is>
      </c>
      <c r="I63" s="84">
        <f>IF(J63="","",J63-K63)</f>
        <v/>
      </c>
      <c r="J63" s="84" t="n">
        <v>699.95</v>
      </c>
      <c r="K63" s="84" t="n">
        <v>0</v>
      </c>
      <c r="L63" s="85">
        <f>IFERROR(I63/I7,"")</f>
        <v/>
      </c>
      <c r="M63" s="83" t="inlineStr">
        <is>
          <t>55QNED83B6A</t>
        </is>
      </c>
      <c r="N63" s="84">
        <f>IF(O63="","",O63-P63)</f>
        <v/>
      </c>
      <c r="O63" s="84" t="n">
        <v>674</v>
      </c>
      <c r="P63" s="84" t="n">
        <v>0</v>
      </c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50QNED85</t>
        </is>
      </c>
      <c r="C64" s="83" t="inlineStr">
        <is>
          <t>50QNED86B6B</t>
        </is>
      </c>
      <c r="D64" s="84">
        <f>IF(E64="","",E64-F64)</f>
        <v/>
      </c>
      <c r="E64" s="84" t="n">
        <v>649</v>
      </c>
      <c r="F64" s="84" t="n">
        <v>0</v>
      </c>
      <c r="G64" s="85">
        <f>IFERROR(D64/D7,"")</f>
        <v/>
      </c>
      <c r="H64" s="83" t="inlineStr">
        <is>
          <t>50QNED86B</t>
        </is>
      </c>
      <c r="I64" s="84">
        <f>IF(J64="","",J64-K64)</f>
        <v/>
      </c>
      <c r="J64" s="84" t="n">
        <v>649.95</v>
      </c>
      <c r="K64" s="84" t="n">
        <v>0</v>
      </c>
      <c r="L64" s="85">
        <f>IFERROR(I64/I7,"")</f>
        <v/>
      </c>
      <c r="M64" s="83" t="inlineStr">
        <is>
          <t>50QNED86B6B</t>
        </is>
      </c>
      <c r="N64" s="84">
        <f>IF(O64="","",O64-P64)</f>
        <v/>
      </c>
      <c r="O64" s="84" t="n">
        <v>649</v>
      </c>
      <c r="P64" s="84" t="n">
        <v>0</v>
      </c>
      <c r="Q64" s="85">
        <f>IFERROR(N64/N7,"")</f>
        <v/>
      </c>
    </row>
    <row r="65" ht="19.9" customHeight="1" s="55">
      <c r="A65" s="123" t="inlineStr">
        <is>
          <t>QNED</t>
        </is>
      </c>
      <c r="B65" s="123" t="inlineStr">
        <is>
          <t>43QNED85</t>
        </is>
      </c>
      <c r="C65" s="83" t="inlineStr">
        <is>
          <t>43QNED86B6B</t>
        </is>
      </c>
      <c r="D65" s="84">
        <f>IF(E65="","",E65-F65)</f>
        <v/>
      </c>
      <c r="E65" s="84" t="n">
        <v>449</v>
      </c>
      <c r="F65" s="84" t="n">
        <v>0</v>
      </c>
      <c r="G65" s="85">
        <f>IFERROR(D65/D7,"")</f>
        <v/>
      </c>
      <c r="H65" s="83" t="inlineStr">
        <is>
          <t>43QNED86B</t>
        </is>
      </c>
      <c r="I65" s="84">
        <f>IF(J65="","",J65-K65)</f>
        <v/>
      </c>
      <c r="J65" s="84" t="n">
        <v>449.95</v>
      </c>
      <c r="K65" s="84" t="n">
        <v>0</v>
      </c>
      <c r="L65" s="85">
        <f>IFERROR(I65/I7,"")</f>
        <v/>
      </c>
      <c r="M65" s="83" t="inlineStr"/>
      <c r="N65" s="84">
        <f>IF(O65="","",O65-P65)</f>
        <v/>
      </c>
      <c r="O65" s="84" t="inlineStr"/>
      <c r="P65" s="84" t="inlineStr"/>
      <c r="Q65" s="85">
        <f>IFERROR(N65/N7,"")</f>
        <v/>
      </c>
    </row>
    <row r="66" ht="20" customHeight="1" s="55">
      <c r="A66" s="105" t="inlineStr"/>
      <c r="B66" s="105" t="n"/>
      <c r="C66" s="92" t="inlineStr"/>
      <c r="D66" s="93" t="inlineStr"/>
      <c r="E66" s="93" t="inlineStr"/>
      <c r="F66" s="93" t="inlineStr"/>
      <c r="G66" s="94" t="inlineStr"/>
      <c r="H66" s="92" t="inlineStr"/>
      <c r="I66" s="93" t="inlineStr"/>
      <c r="J66" s="93" t="inlineStr"/>
      <c r="K66" s="93" t="inlineStr"/>
      <c r="L66" s="94" t="inlineStr"/>
      <c r="M66" s="92" t="inlineStr"/>
      <c r="N66" s="93" t="inlineStr"/>
      <c r="O66" s="93" t="inlineStr"/>
      <c r="P66" s="93" t="inlineStr"/>
      <c r="Q66" s="94" t="inlineStr"/>
    </row>
    <row r="67" ht="20" customHeight="1" s="55">
      <c r="A67" s="123" t="inlineStr">
        <is>
          <t>QNED</t>
        </is>
      </c>
      <c r="B67" s="123" t="inlineStr">
        <is>
          <t>86QNED80</t>
        </is>
      </c>
      <c r="C67" s="83" t="inlineStr">
        <is>
          <t>85QNED70B6A</t>
        </is>
      </c>
      <c r="D67" s="84">
        <f>IF(E67="","",E67-F67)</f>
        <v/>
      </c>
      <c r="E67" s="84" t="n">
        <v>1299</v>
      </c>
      <c r="F67" s="84" t="n">
        <v>0</v>
      </c>
      <c r="G67" s="85">
        <f>IFERROR(D67/D4,"")</f>
        <v/>
      </c>
      <c r="H67" s="83" t="inlineStr">
        <is>
          <t>85QNED72B</t>
        </is>
      </c>
      <c r="I67" s="84">
        <f>IF(J67="","",J67-K67)</f>
        <v/>
      </c>
      <c r="J67" s="84" t="n">
        <v>1199.95</v>
      </c>
      <c r="K67" s="84" t="n">
        <v>0</v>
      </c>
      <c r="L67" s="85">
        <f>IFERROR(I67/I4,"")</f>
        <v/>
      </c>
      <c r="M67" s="83" t="inlineStr">
        <is>
          <t>85QNED7EB3A</t>
        </is>
      </c>
      <c r="N67" s="84">
        <f>IF(O67="","",O67-P67)</f>
        <v/>
      </c>
      <c r="O67" s="84" t="n">
        <v>1079</v>
      </c>
      <c r="P67" s="84" t="n">
        <v>0</v>
      </c>
      <c r="Q67" s="85">
        <f>IFERROR(N67/N4,"")</f>
        <v/>
      </c>
    </row>
    <row r="68" ht="20" customHeight="1" s="55">
      <c r="A68" s="123" t="inlineStr">
        <is>
          <t>QNED</t>
        </is>
      </c>
      <c r="B68" s="123" t="inlineStr">
        <is>
          <t>75QNED80</t>
        </is>
      </c>
      <c r="C68" s="83" t="inlineStr">
        <is>
          <t>75QNED70B6A</t>
        </is>
      </c>
      <c r="D68" s="84">
        <f>IF(E68="","",E68-F68)</f>
        <v/>
      </c>
      <c r="E68" s="84" t="n">
        <v>999</v>
      </c>
      <c r="F68" s="84" t="n">
        <v>0</v>
      </c>
      <c r="G68" s="85">
        <f>IFERROR(D68/D5,"")</f>
        <v/>
      </c>
      <c r="H68" s="83" t="inlineStr">
        <is>
          <t>75QNED72B</t>
        </is>
      </c>
      <c r="I68" s="84">
        <f>IF(J68="","",J68-K68)</f>
        <v/>
      </c>
      <c r="J68" s="84" t="n">
        <v>999.95</v>
      </c>
      <c r="K68" s="84" t="n">
        <v>0</v>
      </c>
      <c r="L68" s="85">
        <f>IFERROR(I68/I5,"")</f>
        <v/>
      </c>
      <c r="M68" s="83" t="inlineStr">
        <is>
          <t>75QNED7EB3A</t>
        </is>
      </c>
      <c r="N68" s="84">
        <f>IF(O68="","",O68-P68)</f>
        <v/>
      </c>
      <c r="O68" s="84" t="n">
        <v>753</v>
      </c>
      <c r="P68" s="84" t="n">
        <v>0</v>
      </c>
      <c r="Q68" s="85">
        <f>IFERROR(N68/N5,"")</f>
        <v/>
      </c>
    </row>
    <row r="69" ht="20" customHeight="1" s="55">
      <c r="A69" s="123" t="inlineStr">
        <is>
          <t>QNED</t>
        </is>
      </c>
      <c r="B69" s="123" t="inlineStr">
        <is>
          <t>65QNED80</t>
        </is>
      </c>
      <c r="C69" s="83" t="inlineStr">
        <is>
          <t>65QNED71B6B</t>
        </is>
      </c>
      <c r="D69" s="103">
        <f>IF(E69="","",E69-F69)</f>
        <v/>
      </c>
      <c r="E69" s="104" t="n">
        <v>599</v>
      </c>
      <c r="F69" s="104" t="n">
        <v>0</v>
      </c>
      <c r="G69" s="85">
        <f>IFERROR(D69/D6,"")</f>
        <v/>
      </c>
      <c r="H69" s="83" t="inlineStr">
        <is>
          <t>65QNED72B</t>
        </is>
      </c>
      <c r="I69" s="103">
        <f>IF(J69="","",J69-K69)</f>
        <v/>
      </c>
      <c r="J69" s="104" t="n">
        <v>699.95</v>
      </c>
      <c r="K69" s="104" t="n">
        <v>0</v>
      </c>
      <c r="L69" s="85">
        <f>IFERROR(I69/I6,"")</f>
        <v/>
      </c>
      <c r="M69" s="83" t="inlineStr">
        <is>
          <t>65QNED83B6A</t>
        </is>
      </c>
      <c r="N69" s="103">
        <f>IF(O69="","",O69-P69)</f>
        <v/>
      </c>
      <c r="O69" s="104" t="n">
        <v>862</v>
      </c>
      <c r="P69" s="104" t="n">
        <v>0</v>
      </c>
      <c r="Q69" s="85">
        <f>IFERROR(N69/N6,"")</f>
        <v/>
      </c>
    </row>
    <row r="70" ht="20" customHeight="1" s="55">
      <c r="A70" s="123" t="inlineStr">
        <is>
          <t>QNED</t>
        </is>
      </c>
      <c r="B70" s="123" t="inlineStr">
        <is>
          <t>55QNED80</t>
        </is>
      </c>
      <c r="C70" s="83" t="inlineStr">
        <is>
          <t>55QNED71B6B</t>
        </is>
      </c>
      <c r="D70" s="84">
        <f>IF(E70="","",E70-F70)</f>
        <v/>
      </c>
      <c r="E70" s="84" t="n">
        <v>499</v>
      </c>
      <c r="F70" s="84" t="n">
        <v>0</v>
      </c>
      <c r="G70" s="85">
        <f>IFERROR(D70/D7,"")</f>
        <v/>
      </c>
      <c r="H70" s="83" t="inlineStr">
        <is>
          <t>55QNED72B</t>
        </is>
      </c>
      <c r="I70" s="84">
        <f>IF(J70="","",J70-K70)</f>
        <v/>
      </c>
      <c r="J70" s="84" t="n">
        <v>599.95</v>
      </c>
      <c r="K70" s="84" t="n">
        <v>0</v>
      </c>
      <c r="L70" s="85">
        <f>IFERROR(I70/I7,"")</f>
        <v/>
      </c>
      <c r="M70" s="83" t="inlineStr">
        <is>
          <t>55QNED83B6A</t>
        </is>
      </c>
      <c r="N70" s="84">
        <f>IF(O70="","",O70-P70)</f>
        <v/>
      </c>
      <c r="O70" s="84" t="n">
        <v>674</v>
      </c>
      <c r="P70" s="84" t="n">
        <v>0</v>
      </c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50QNED80</t>
        </is>
      </c>
      <c r="C71" s="83" t="inlineStr">
        <is>
          <t>50QNED71B6B</t>
        </is>
      </c>
      <c r="D71" s="84">
        <f>IF(E71="","",E71-F71)</f>
        <v/>
      </c>
      <c r="E71" s="84" t="n">
        <v>449</v>
      </c>
      <c r="F71" s="84" t="n">
        <v>0</v>
      </c>
      <c r="G71" s="85">
        <f>IFERROR(D71/D7,"")</f>
        <v/>
      </c>
      <c r="H71" s="83" t="inlineStr">
        <is>
          <t>50QNED72B</t>
        </is>
      </c>
      <c r="I71" s="84">
        <f>IF(J71="","",J71-K71)</f>
        <v/>
      </c>
      <c r="J71" s="84" t="n">
        <v>469.95</v>
      </c>
      <c r="K71" s="84" t="n">
        <v>0</v>
      </c>
      <c r="L71" s="85">
        <f>IFERROR(I71/I7,"")</f>
        <v/>
      </c>
      <c r="M71" s="83" t="inlineStr">
        <is>
          <t>50QNED70B6C</t>
        </is>
      </c>
      <c r="N71" s="84">
        <f>IF(O71="","",O71-P71)</f>
        <v/>
      </c>
      <c r="O71" s="84" t="n">
        <v>449</v>
      </c>
      <c r="P71" s="84" t="n">
        <v>0</v>
      </c>
      <c r="Q71" s="85">
        <f>IFERROR(N71/N7,"")</f>
        <v/>
      </c>
    </row>
    <row r="72" ht="19.9" customHeight="1" s="55">
      <c r="A72" s="123" t="inlineStr">
        <is>
          <t>QNED</t>
        </is>
      </c>
      <c r="B72" s="123" t="inlineStr">
        <is>
          <t>43QNED80</t>
        </is>
      </c>
      <c r="C72" s="83" t="inlineStr">
        <is>
          <t>43QNED71B6B</t>
        </is>
      </c>
      <c r="D72" s="84">
        <f>IF(E72="","",E72-F72)</f>
        <v/>
      </c>
      <c r="E72" s="84" t="n">
        <v>399</v>
      </c>
      <c r="F72" s="84" t="n">
        <v>0</v>
      </c>
      <c r="G72" s="85">
        <f>IFERROR(D72/D7,"")</f>
        <v/>
      </c>
      <c r="H72" s="83" t="inlineStr">
        <is>
          <t>43QNED72B</t>
        </is>
      </c>
      <c r="I72" s="84">
        <f>IF(J72="","",J72-K72)</f>
        <v/>
      </c>
      <c r="J72" s="84" t="n">
        <v>429.95</v>
      </c>
      <c r="K72" s="84" t="n">
        <v>0</v>
      </c>
      <c r="L72" s="85">
        <f>IFERROR(I72/I7,"")</f>
        <v/>
      </c>
      <c r="M72" s="83" t="inlineStr">
        <is>
          <t>43QNED70B6C</t>
        </is>
      </c>
      <c r="N72" s="84">
        <f>IF(O72="","",O72-P72)</f>
        <v/>
      </c>
      <c r="O72" s="84" t="n">
        <v>399</v>
      </c>
      <c r="P72" s="84" t="n">
        <v>0</v>
      </c>
      <c r="Q72" s="85">
        <f>IFERROR(N72/N7,"")</f>
        <v/>
      </c>
    </row>
    <row r="73" ht="20" customHeight="1" s="55">
      <c r="A73" s="105" t="inlineStr"/>
      <c r="B73" s="105" t="n"/>
      <c r="C73" s="92" t="inlineStr"/>
      <c r="D73" s="93" t="inlineStr"/>
      <c r="E73" s="93" t="inlineStr"/>
      <c r="F73" s="93" t="inlineStr"/>
      <c r="G73" s="94" t="inlineStr"/>
      <c r="H73" s="92" t="inlineStr"/>
      <c r="I73" s="93" t="inlineStr"/>
      <c r="J73" s="93" t="inlineStr"/>
      <c r="K73" s="93" t="inlineStr"/>
      <c r="L73" s="94" t="inlineStr"/>
      <c r="M73" s="92" t="inlineStr"/>
      <c r="N73" s="93" t="inlineStr"/>
      <c r="O73" s="93" t="inlineStr"/>
      <c r="P73" s="93" t="inlineStr"/>
      <c r="Q73" s="94" t="inlineStr"/>
    </row>
    <row r="74" ht="20" customHeight="1" s="55">
      <c r="A74" s="123" t="inlineStr">
        <is>
          <t>QNED</t>
        </is>
      </c>
      <c r="B74" s="123" t="inlineStr">
        <is>
          <t>86QNED70</t>
        </is>
      </c>
      <c r="C74" s="83" t="inlineStr">
        <is>
          <t>85QNED70B6A</t>
        </is>
      </c>
      <c r="D74" s="84">
        <f>IF(E74="","",E74-F74)</f>
        <v/>
      </c>
      <c r="E74" s="84" t="n">
        <v>1299</v>
      </c>
      <c r="F74" s="84" t="n">
        <v>0</v>
      </c>
      <c r="G74" s="85">
        <f>IFERROR(D74/D4,"")</f>
        <v/>
      </c>
      <c r="H74" s="83" t="inlineStr">
        <is>
          <t>85QNED72B</t>
        </is>
      </c>
      <c r="I74" s="84">
        <f>IF(J74="","",J74-K74)</f>
        <v/>
      </c>
      <c r="J74" s="84" t="n">
        <v>1199.95</v>
      </c>
      <c r="K74" s="84" t="n">
        <v>0</v>
      </c>
      <c r="L74" s="85">
        <f>IFERROR(I74/I4,"")</f>
        <v/>
      </c>
      <c r="M74" s="83" t="inlineStr">
        <is>
          <t>85QNED70B6A</t>
        </is>
      </c>
      <c r="N74" s="84">
        <f>IF(O74="","",O74-P74)</f>
        <v/>
      </c>
      <c r="O74" s="84" t="n">
        <v>1299</v>
      </c>
      <c r="P74" s="84" t="n">
        <v>0</v>
      </c>
      <c r="Q74" s="85">
        <f>IFERROR(N74/N4,"")</f>
        <v/>
      </c>
    </row>
    <row r="75" ht="20" customHeight="1" s="55">
      <c r="A75" s="123" t="inlineStr">
        <is>
          <t>QNED</t>
        </is>
      </c>
      <c r="B75" s="123" t="inlineStr">
        <is>
          <t>75QNED70</t>
        </is>
      </c>
      <c r="C75" s="83" t="inlineStr">
        <is>
          <t>75QNED70B6A</t>
        </is>
      </c>
      <c r="D75" s="84">
        <f>IF(E75="","",E75-F75)</f>
        <v/>
      </c>
      <c r="E75" s="84" t="n">
        <v>999</v>
      </c>
      <c r="F75" s="84" t="n">
        <v>0</v>
      </c>
      <c r="G75" s="85">
        <f>IFERROR(D75/D5,"")</f>
        <v/>
      </c>
      <c r="H75" s="83" t="inlineStr">
        <is>
          <t>75QNED72B</t>
        </is>
      </c>
      <c r="I75" s="84">
        <f>IF(J75="","",J75-K75)</f>
        <v/>
      </c>
      <c r="J75" s="84" t="n">
        <v>999.95</v>
      </c>
      <c r="K75" s="84" t="n">
        <v>0</v>
      </c>
      <c r="L75" s="85">
        <f>IFERROR(I75/I5,"")</f>
        <v/>
      </c>
      <c r="M75" s="83" t="inlineStr">
        <is>
          <t>75QNED70B6A</t>
        </is>
      </c>
      <c r="N75" s="84">
        <f>IF(O75="","",O75-P75)</f>
        <v/>
      </c>
      <c r="O75" s="84" t="n">
        <v>999</v>
      </c>
      <c r="P75" s="84" t="n">
        <v>0</v>
      </c>
      <c r="Q75" s="85">
        <f>IFERROR(N75/N5,"")</f>
        <v/>
      </c>
    </row>
    <row r="76" ht="20" customHeight="1" s="55">
      <c r="A76" s="123" t="inlineStr">
        <is>
          <t>QNED</t>
        </is>
      </c>
      <c r="B76" s="123" t="inlineStr">
        <is>
          <t>65QNED70</t>
        </is>
      </c>
      <c r="C76" s="83" t="inlineStr">
        <is>
          <t>65QNED71B6B</t>
        </is>
      </c>
      <c r="D76" s="84">
        <f>IF(E76="","",E76-F76)</f>
        <v/>
      </c>
      <c r="E76" s="84" t="n">
        <v>599</v>
      </c>
      <c r="F76" s="84" t="n">
        <v>0</v>
      </c>
      <c r="G76" s="85">
        <f>IFERROR(D76/D6,"")</f>
        <v/>
      </c>
      <c r="H76" s="83" t="inlineStr">
        <is>
          <t>65QNED72B</t>
        </is>
      </c>
      <c r="I76" s="84">
        <f>IF(J76="","",J76-K76)</f>
        <v/>
      </c>
      <c r="J76" s="84" t="n">
        <v>699.95</v>
      </c>
      <c r="K76" s="84" t="n">
        <v>0</v>
      </c>
      <c r="L76" s="85">
        <f>IFERROR(I76/I6,"")</f>
        <v/>
      </c>
      <c r="M76" s="83" t="inlineStr"/>
      <c r="N76" s="84">
        <f>IF(O76="","",O76-P76)</f>
        <v/>
      </c>
      <c r="O76" s="84" t="inlineStr"/>
      <c r="P76" s="84" t="inlineStr"/>
      <c r="Q76" s="85">
        <f>IFERROR(N76/N6,"")</f>
        <v/>
      </c>
    </row>
    <row r="77" ht="20" customHeight="1" s="55">
      <c r="A77" s="123" t="inlineStr">
        <is>
          <t>QNED</t>
        </is>
      </c>
      <c r="B77" s="123" t="inlineStr">
        <is>
          <t>55QNED70</t>
        </is>
      </c>
      <c r="C77" s="83" t="inlineStr">
        <is>
          <t>55QNED71B6B</t>
        </is>
      </c>
      <c r="D77" s="103">
        <f>IF(E77="","",E77-F77)</f>
        <v/>
      </c>
      <c r="E77" s="104" t="n">
        <v>499</v>
      </c>
      <c r="F77" s="104" t="n">
        <v>0</v>
      </c>
      <c r="G77" s="85">
        <f>IFERROR(D77/D7,"")</f>
        <v/>
      </c>
      <c r="H77" s="83" t="inlineStr">
        <is>
          <t>55QNED72B</t>
        </is>
      </c>
      <c r="I77" s="103">
        <f>IF(J77="","",J77-K77)</f>
        <v/>
      </c>
      <c r="J77" s="84" t="n">
        <v>599.95</v>
      </c>
      <c r="K77" s="84" t="n">
        <v>0</v>
      </c>
      <c r="L77" s="85">
        <f>IFERROR(I77/I7,"")</f>
        <v/>
      </c>
      <c r="M77" s="83" t="inlineStr">
        <is>
          <t>55QNED70B6C</t>
        </is>
      </c>
      <c r="N77" s="103">
        <f>IF(O77="","",O77-P77)</f>
        <v/>
      </c>
      <c r="O77" s="84" t="n">
        <v>459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50QNED70</t>
        </is>
      </c>
      <c r="C78" s="83" t="inlineStr">
        <is>
          <t>50QNED71B6B</t>
        </is>
      </c>
      <c r="D78" s="84">
        <f>IF(E78="","",E78-F78)</f>
        <v/>
      </c>
      <c r="E78" s="84" t="n">
        <v>449</v>
      </c>
      <c r="F78" s="84" t="n">
        <v>0</v>
      </c>
      <c r="G78" s="85">
        <f>IFERROR(D78/D7,"")</f>
        <v/>
      </c>
      <c r="H78" s="83" t="inlineStr">
        <is>
          <t>50QNED72B</t>
        </is>
      </c>
      <c r="I78" s="84">
        <f>IF(J78="","",J78-K78)</f>
        <v/>
      </c>
      <c r="J78" s="84" t="n">
        <v>469.95</v>
      </c>
      <c r="K78" s="84" t="n">
        <v>0</v>
      </c>
      <c r="L78" s="85">
        <f>IFERROR(I78/I7,"")</f>
        <v/>
      </c>
      <c r="M78" s="83" t="inlineStr">
        <is>
          <t>50QNED70B6C</t>
        </is>
      </c>
      <c r="N78" s="84">
        <f>IF(O78="","",O78-P78)</f>
        <v/>
      </c>
      <c r="O78" s="84" t="n">
        <v>449</v>
      </c>
      <c r="P78" s="84" t="n">
        <v>0</v>
      </c>
      <c r="Q78" s="85">
        <f>IFERROR(N78/N7,"")</f>
        <v/>
      </c>
    </row>
    <row r="79" ht="19.9" customFormat="1" customHeight="1" s="2">
      <c r="A79" s="123" t="inlineStr">
        <is>
          <t>QNED</t>
        </is>
      </c>
      <c r="B79" s="123" t="inlineStr">
        <is>
          <t>43QNED70</t>
        </is>
      </c>
      <c r="C79" s="83" t="inlineStr">
        <is>
          <t>43QNED71B6B</t>
        </is>
      </c>
      <c r="D79" s="84">
        <f>IF(E79="","",E79-F79)</f>
        <v/>
      </c>
      <c r="E79" s="84" t="n">
        <v>399</v>
      </c>
      <c r="F79" s="84" t="n">
        <v>0</v>
      </c>
      <c r="G79" s="85">
        <f>IFERROR(D79/D7,"")</f>
        <v/>
      </c>
      <c r="H79" s="83" t="inlineStr">
        <is>
          <t>43QNED72B</t>
        </is>
      </c>
      <c r="I79" s="84">
        <f>IF(J79="","",J79-K79)</f>
        <v/>
      </c>
      <c r="J79" s="84" t="n">
        <v>429.95</v>
      </c>
      <c r="K79" s="84" t="n">
        <v>0</v>
      </c>
      <c r="L79" s="85">
        <f>IFERROR(I79/I7,"")</f>
        <v/>
      </c>
      <c r="M79" s="83" t="inlineStr">
        <is>
          <t>43QNED70B6C</t>
        </is>
      </c>
      <c r="N79" s="84">
        <f>IF(O79="","",O79-P79)</f>
        <v/>
      </c>
      <c r="O79" s="84" t="n">
        <v>399</v>
      </c>
      <c r="P79" s="84" t="n">
        <v>0</v>
      </c>
      <c r="Q79" s="85">
        <f>IFERROR(N79/N7,"")</f>
        <v/>
      </c>
    </row>
    <row r="80" ht="20" customHeight="1" s="55">
      <c r="A80" s="105" t="inlineStr"/>
      <c r="B80" s="105" t="n"/>
      <c r="C80" s="92" t="inlineStr"/>
      <c r="D80" s="93" t="inlineStr"/>
      <c r="E80" s="93" t="inlineStr"/>
      <c r="F80" s="93" t="inlineStr"/>
      <c r="G80" s="94" t="inlineStr"/>
      <c r="H80" s="92" t="inlineStr"/>
      <c r="I80" s="93" t="inlineStr"/>
      <c r="J80" s="93" t="inlineStr"/>
      <c r="K80" s="93" t="inlineStr"/>
      <c r="L80" s="94" t="inlineStr"/>
      <c r="M80" s="92" t="inlineStr"/>
      <c r="N80" s="93" t="inlineStr"/>
      <c r="O80" s="93" t="inlineStr"/>
      <c r="P80" s="93" t="inlineStr"/>
      <c r="Q80" s="94" t="inlineStr"/>
    </row>
    <row r="81" ht="20" customHeight="1" s="55">
      <c r="A81" s="124" t="inlineStr">
        <is>
          <t>MRGB</t>
        </is>
      </c>
      <c r="B81" s="124" t="inlineStr">
        <is>
          <t>85R95H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/>
      <c r="I81" s="89">
        <f>IF(J81="","",J81-K81)</f>
        <v/>
      </c>
      <c r="J81" s="89" t="inlineStr"/>
      <c r="K81" s="89" t="inlineStr"/>
      <c r="L81" s="90" t="inlineStr"/>
      <c r="M81" s="125" t="inlineStr"/>
      <c r="N81" s="89">
        <f>IF(O81="","",O81-P81)</f>
        <v/>
      </c>
      <c r="O81" s="89" t="inlineStr"/>
      <c r="P81" s="89" t="inlineStr"/>
      <c r="Q81" s="90" t="inlineStr"/>
    </row>
    <row r="82" ht="20" customHeight="1" s="55">
      <c r="A82" s="124" t="inlineStr">
        <is>
          <t>MRGB</t>
        </is>
      </c>
      <c r="B82" s="124" t="inlineStr">
        <is>
          <t>75R95H</t>
        </is>
      </c>
      <c r="C82" s="125" t="inlineStr"/>
      <c r="D82" s="89">
        <f>IF(E82="","",E82-F82)</f>
        <v/>
      </c>
      <c r="E82" s="89" t="inlineStr"/>
      <c r="F82" s="89" t="inlineStr"/>
      <c r="G82" s="90" t="inlineStr"/>
      <c r="H82" s="125" t="inlineStr">
        <is>
          <t>MRE75R95H</t>
        </is>
      </c>
      <c r="I82" s="89">
        <f>IF(J82="","",J82-K82)</f>
        <v/>
      </c>
      <c r="J82" s="89" t="n">
        <v>4499.95</v>
      </c>
      <c r="K82" s="89" t="n">
        <v>0</v>
      </c>
      <c r="L82" s="90" t="inlineStr"/>
      <c r="M82" s="125" t="inlineStr"/>
      <c r="N82" s="89">
        <f>IF(O82="","",O82-P82)</f>
        <v/>
      </c>
      <c r="O82" s="89" t="inlineStr"/>
      <c r="P82" s="89" t="inlineStr"/>
      <c r="Q82" s="90" t="inlineStr"/>
    </row>
    <row r="83" ht="20" customHeight="1" s="55">
      <c r="A83" s="124" t="inlineStr">
        <is>
          <t>MRGB</t>
        </is>
      </c>
      <c r="B83" s="124" t="inlineStr">
        <is>
          <t>65R95H</t>
        </is>
      </c>
      <c r="C83" s="125" t="inlineStr"/>
      <c r="D83" s="95">
        <f>IF(E83="","",E83-F83)</f>
        <v/>
      </c>
      <c r="E83" s="89" t="inlineStr"/>
      <c r="F83" s="89" t="inlineStr"/>
      <c r="G83" s="90" t="inlineStr"/>
      <c r="H83" s="125" t="inlineStr"/>
      <c r="I83" s="95">
        <f>IF(J83="","",J83-K83)</f>
        <v/>
      </c>
      <c r="J83" s="89" t="inlineStr"/>
      <c r="K83" s="89" t="inlineStr"/>
      <c r="L83" s="90" t="inlineStr"/>
      <c r="M83" s="125" t="inlineStr"/>
      <c r="N83" s="95">
        <f>IF(O83="","",O83-P83)</f>
        <v/>
      </c>
      <c r="O83" s="89" t="inlineStr"/>
      <c r="P83" s="89" t="inlineStr"/>
      <c r="Q83" s="90" t="inlineStr"/>
    </row>
    <row r="84" ht="19.9" customHeight="1" s="55">
      <c r="A84" s="124" t="inlineStr">
        <is>
          <t>MRGB</t>
        </is>
      </c>
      <c r="B84" s="124" t="inlineStr">
        <is>
          <t>55R95H</t>
        </is>
      </c>
      <c r="C84" s="125" t="inlineStr"/>
      <c r="D84" s="89">
        <f>IF(E84="","",E84-F84)</f>
        <v/>
      </c>
      <c r="E84" s="89" t="inlineStr"/>
      <c r="F84" s="89" t="inlineStr"/>
      <c r="G84" s="90" t="inlineStr"/>
      <c r="H84" s="125" t="inlineStr"/>
      <c r="I84" s="89">
        <f>IF(J84="","",J84-K84)</f>
        <v/>
      </c>
      <c r="J84" s="89" t="inlineStr"/>
      <c r="K84" s="89" t="inlineStr"/>
      <c r="L84" s="90" t="inlineStr"/>
      <c r="M84" s="125" t="inlineStr"/>
      <c r="N84" s="89">
        <f>IF(O84="","",O84-P84)</f>
        <v/>
      </c>
      <c r="O84" s="89" t="inlineStr"/>
      <c r="P84" s="89" t="inlineStr"/>
      <c r="Q84" s="90" t="inlineStr"/>
    </row>
    <row r="85" ht="20" customHeight="1" s="55">
      <c r="A85" s="119" t="inlineStr"/>
      <c r="B85" s="111" t="n"/>
      <c r="C85" s="112" t="inlineStr"/>
      <c r="D85" s="113" t="inlineStr"/>
      <c r="E85" s="113" t="inlineStr"/>
      <c r="F85" s="113" t="inlineStr"/>
      <c r="G85" s="114" t="inlineStr"/>
      <c r="H85" s="112" t="inlineStr"/>
      <c r="I85" s="113" t="inlineStr"/>
      <c r="J85" s="113" t="inlineStr"/>
      <c r="K85" s="113" t="inlineStr"/>
      <c r="L85" s="114" t="inlineStr"/>
      <c r="M85" s="112" t="inlineStr"/>
      <c r="N85" s="113" t="inlineStr"/>
      <c r="O85" s="113" t="inlineStr"/>
      <c r="P85" s="113" t="inlineStr"/>
      <c r="Q85" s="114" t="inlineStr"/>
    </row>
    <row r="86" ht="20" customHeight="1" s="55">
      <c r="A86" s="124" t="inlineStr">
        <is>
          <t>MRGB</t>
        </is>
      </c>
      <c r="B86" s="124" t="inlineStr">
        <is>
          <t>85R85H</t>
        </is>
      </c>
      <c r="C86" s="125" t="inlineStr">
        <is>
          <t>MRE85R85H</t>
        </is>
      </c>
      <c r="D86" s="89">
        <f>IF(E86="","",E86-F86)</f>
        <v/>
      </c>
      <c r="E86" s="89" t="n">
        <v>2879</v>
      </c>
      <c r="F86" s="89" t="n">
        <v>0</v>
      </c>
      <c r="G86" s="90" t="inlineStr"/>
      <c r="H86" s="125" t="inlineStr">
        <is>
          <t>MRE85R85H</t>
        </is>
      </c>
      <c r="I86" s="89">
        <f>IF(J86="","",J86-K86)</f>
        <v/>
      </c>
      <c r="J86" s="89" t="n">
        <v>2499.95</v>
      </c>
      <c r="K86" s="89" t="n">
        <v>0</v>
      </c>
      <c r="L86" s="90" t="inlineStr"/>
      <c r="M86" s="125" t="inlineStr">
        <is>
          <t>MRE85R85HAUXXN</t>
        </is>
      </c>
      <c r="N86" s="89">
        <f>IF(O86="","",O86-P86)</f>
        <v/>
      </c>
      <c r="O86" s="89" t="n">
        <v>2490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75R85H</t>
        </is>
      </c>
      <c r="C87" s="125" t="inlineStr">
        <is>
          <t>MRE75R85H</t>
        </is>
      </c>
      <c r="D87" s="89">
        <f>IF(E87="","",E87-F87)</f>
        <v/>
      </c>
      <c r="E87" s="89" t="n">
        <v>1999</v>
      </c>
      <c r="F87" s="89" t="n">
        <v>0</v>
      </c>
      <c r="G87" s="90" t="inlineStr"/>
      <c r="H87" s="125" t="inlineStr">
        <is>
          <t>MRE75R85H</t>
        </is>
      </c>
      <c r="I87" s="89">
        <f>IF(J87="","",J87-K87)</f>
        <v/>
      </c>
      <c r="J87" s="89" t="n">
        <v>1899.95</v>
      </c>
      <c r="K87" s="89" t="n">
        <v>0</v>
      </c>
      <c r="L87" s="90" t="inlineStr"/>
      <c r="M87" s="125" t="inlineStr">
        <is>
          <t>MRE75R85HAUXXN</t>
        </is>
      </c>
      <c r="N87" s="89">
        <f>IF(O87="","",O87-P87)</f>
        <v/>
      </c>
      <c r="O87" s="89" t="n">
        <v>1899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65R85H</t>
        </is>
      </c>
      <c r="C88" s="125" t="inlineStr">
        <is>
          <t>MRE65R85H</t>
        </is>
      </c>
      <c r="D88" s="89">
        <f>IF(E88="","",E88-F88)</f>
        <v/>
      </c>
      <c r="E88" s="89" t="n">
        <v>1599</v>
      </c>
      <c r="F88" s="89" t="n">
        <v>0</v>
      </c>
      <c r="G88" s="90" t="inlineStr"/>
      <c r="H88" s="125" t="inlineStr">
        <is>
          <t>MRE65R85H</t>
        </is>
      </c>
      <c r="I88" s="89">
        <f>IF(J88="","",J88-K88)</f>
        <v/>
      </c>
      <c r="J88" s="89" t="n">
        <v>1379.95</v>
      </c>
      <c r="K88" s="89" t="n">
        <v>0</v>
      </c>
      <c r="L88" s="90" t="inlineStr"/>
      <c r="M88" s="125" t="inlineStr">
        <is>
          <t>MRE65R85HAUXXN</t>
        </is>
      </c>
      <c r="N88" s="89">
        <f>IF(O88="","",O88-P88)</f>
        <v/>
      </c>
      <c r="O88" s="89" t="n">
        <v>1379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55R85H</t>
        </is>
      </c>
      <c r="C89" s="125" t="inlineStr">
        <is>
          <t>MRE55R85H</t>
        </is>
      </c>
      <c r="D89" s="89">
        <f>IF(E89="","",E89-F89)</f>
        <v/>
      </c>
      <c r="E89" s="89" t="n">
        <v>1200</v>
      </c>
      <c r="F89" s="89" t="n">
        <v>0</v>
      </c>
      <c r="G89" s="90" t="inlineStr"/>
      <c r="H89" s="125" t="inlineStr">
        <is>
          <t>MRE55R85H</t>
        </is>
      </c>
      <c r="I89" s="89">
        <f>IF(J89="","",J89-K89)</f>
        <v/>
      </c>
      <c r="J89" s="89" t="n">
        <v>1099.95</v>
      </c>
      <c r="K89" s="89" t="n">
        <v>0</v>
      </c>
      <c r="L89" s="90" t="inlineStr"/>
      <c r="M89" s="125" t="inlineStr">
        <is>
          <t>MRE55R85HAUXXN</t>
        </is>
      </c>
      <c r="N89" s="89">
        <f>IF(O89="","",O89-P89)</f>
        <v/>
      </c>
      <c r="O89" s="89" t="n">
        <v>1099</v>
      </c>
      <c r="P89" s="89" t="n">
        <v>0</v>
      </c>
      <c r="Q89" s="90" t="inlineStr"/>
    </row>
    <row r="90" ht="19.9" customHeight="1" s="55">
      <c r="A90" s="124" t="inlineStr">
        <is>
          <t>MRGB</t>
        </is>
      </c>
      <c r="B90" s="124" t="inlineStr">
        <is>
          <t>50R85H</t>
        </is>
      </c>
      <c r="C90" s="125" t="inlineStr"/>
      <c r="D90" s="89">
        <f>IF(E90="","",E90-F90)</f>
        <v/>
      </c>
      <c r="E90" s="89" t="inlineStr"/>
      <c r="F90" s="89" t="inlineStr"/>
      <c r="G90" s="90" t="inlineStr"/>
      <c r="H90" s="125" t="inlineStr"/>
      <c r="I90" s="89">
        <f>IF(J90="","",J90-K90)</f>
        <v/>
      </c>
      <c r="J90" s="89" t="inlineStr"/>
      <c r="K90" s="89" t="inlineStr"/>
      <c r="L90" s="90" t="inlineStr"/>
      <c r="M90" s="125" t="inlineStr"/>
      <c r="N90" s="89">
        <f>IF(O90="","",O90-P90)</f>
        <v/>
      </c>
      <c r="O90" s="89" t="inlineStr"/>
      <c r="P90" s="89" t="inlineStr"/>
      <c r="Q90" s="90" t="inlineStr"/>
    </row>
    <row r="91" ht="20" customHeight="1" s="55">
      <c r="A91" s="119" t="inlineStr"/>
      <c r="B91" s="111" t="n"/>
      <c r="C91" s="112" t="inlineStr"/>
      <c r="D91" s="113" t="inlineStr"/>
      <c r="E91" s="113" t="inlineStr"/>
      <c r="F91" s="113" t="inlineStr"/>
      <c r="G91" s="114" t="inlineStr"/>
      <c r="H91" s="112" t="inlineStr"/>
      <c r="I91" s="113" t="inlineStr"/>
      <c r="J91" s="113" t="inlineStr"/>
      <c r="K91" s="113" t="inlineStr"/>
      <c r="L91" s="114" t="inlineStr"/>
      <c r="M91" s="112" t="inlineStr"/>
      <c r="N91" s="113" t="inlineStr"/>
      <c r="O91" s="113" t="inlineStr"/>
      <c r="P91" s="113" t="inlineStr"/>
      <c r="Q91" s="114" t="inlineStr"/>
    </row>
    <row r="92" ht="20" customHeight="1" s="55">
      <c r="A92" s="124" t="inlineStr">
        <is>
          <t>QLED</t>
        </is>
      </c>
      <c r="B92" s="124" t="inlineStr">
        <is>
          <t>100QN80H</t>
        </is>
      </c>
      <c r="C92" s="125" t="inlineStr">
        <is>
          <t>QE100QN80H</t>
        </is>
      </c>
      <c r="D92" s="89">
        <f>IF(E92="","",E92-F92)</f>
        <v/>
      </c>
      <c r="E92" s="89" t="n">
        <v>3099</v>
      </c>
      <c r="F92" s="89" t="n">
        <v>0</v>
      </c>
      <c r="G92" s="90" t="inlineStr"/>
      <c r="H92" s="125" t="inlineStr">
        <is>
          <t>QE100QN80H</t>
        </is>
      </c>
      <c r="I92" s="89">
        <f>IF(J92="","",J92-K92)</f>
        <v/>
      </c>
      <c r="J92" s="89" t="n">
        <v>3099.95</v>
      </c>
      <c r="K92" s="89" t="n">
        <v>0</v>
      </c>
      <c r="L92" s="90" t="inlineStr"/>
      <c r="M92" s="125" t="inlineStr">
        <is>
          <t>QE100QN80HUXZU</t>
        </is>
      </c>
      <c r="N92" s="89">
        <f>IF(O92="","",O92-P92)</f>
        <v/>
      </c>
      <c r="O92" s="89" t="n">
        <v>3299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85QN80H</t>
        </is>
      </c>
      <c r="C93" s="125" t="inlineStr">
        <is>
          <t>QE85QN80H</t>
        </is>
      </c>
      <c r="D93" s="89">
        <f>IF(E93="","",E93-F93)</f>
        <v/>
      </c>
      <c r="E93" s="89" t="n">
        <v>2001</v>
      </c>
      <c r="F93" s="89" t="n">
        <v>0</v>
      </c>
      <c r="G93" s="90" t="inlineStr"/>
      <c r="H93" s="125" t="inlineStr">
        <is>
          <t>QE85QN80H</t>
        </is>
      </c>
      <c r="I93" s="89">
        <f>IF(J93="","",J93-K93)</f>
        <v/>
      </c>
      <c r="J93" s="89" t="n">
        <v>1999.95</v>
      </c>
      <c r="K93" s="89" t="n">
        <v>0</v>
      </c>
      <c r="L93" s="90" t="inlineStr"/>
      <c r="M93" s="125" t="inlineStr"/>
      <c r="N93" s="89">
        <f>IF(O93="","",O93-P93)</f>
        <v/>
      </c>
      <c r="O93" s="89" t="inlineStr"/>
      <c r="P93" s="89" t="inlineStr"/>
      <c r="Q93" s="90" t="inlineStr"/>
    </row>
    <row r="94" ht="20" customHeight="1" s="55">
      <c r="A94" s="124" t="inlineStr">
        <is>
          <t>QLED</t>
        </is>
      </c>
      <c r="B94" s="124" t="inlineStr">
        <is>
          <t>75QN80H</t>
        </is>
      </c>
      <c r="C94" s="125" t="inlineStr">
        <is>
          <t>QE75QN80H</t>
        </is>
      </c>
      <c r="D94" s="89">
        <f>IF(E94="","",E94-F94)</f>
        <v/>
      </c>
      <c r="E94" s="89" t="n">
        <v>2301</v>
      </c>
      <c r="F94" s="89" t="n">
        <v>0</v>
      </c>
      <c r="G94" s="90" t="inlineStr"/>
      <c r="H94" s="125" t="inlineStr">
        <is>
          <t>QE75QN80H</t>
        </is>
      </c>
      <c r="I94" s="89">
        <f>IF(J94="","",J94-K94)</f>
        <v/>
      </c>
      <c r="J94" s="89" t="n">
        <v>1699.95</v>
      </c>
      <c r="K94" s="89" t="n">
        <v>0</v>
      </c>
      <c r="L94" s="90" t="inlineStr"/>
      <c r="M94" s="125" t="inlineStr"/>
      <c r="N94" s="89">
        <f>IF(O94="","",O94-P94)</f>
        <v/>
      </c>
      <c r="O94" s="89" t="inlineStr"/>
      <c r="P94" s="89" t="inlineStr"/>
      <c r="Q94" s="90" t="inlineStr"/>
    </row>
    <row r="95" ht="20" customHeight="1" s="55">
      <c r="A95" s="124" t="inlineStr">
        <is>
          <t>QLED</t>
        </is>
      </c>
      <c r="B95" s="124" t="inlineStr">
        <is>
          <t>65QN80H</t>
        </is>
      </c>
      <c r="C95" s="125" t="inlineStr">
        <is>
          <t>QE65QN80H</t>
        </is>
      </c>
      <c r="D95" s="120">
        <f>IF(E95="","",E95-F95)</f>
        <v/>
      </c>
      <c r="E95" s="89" t="n">
        <v>1351</v>
      </c>
      <c r="F95" s="89" t="n">
        <v>0</v>
      </c>
      <c r="G95" s="90" t="inlineStr"/>
      <c r="H95" s="125" t="inlineStr">
        <is>
          <t>QE65QN80H</t>
        </is>
      </c>
      <c r="I95" s="120">
        <f>IF(J95="","",J95-K95)</f>
        <v/>
      </c>
      <c r="J95" s="89" t="n">
        <v>1349.95</v>
      </c>
      <c r="K95" s="89" t="n">
        <v>0</v>
      </c>
      <c r="L95" s="90" t="inlineStr"/>
      <c r="M95" s="125" t="inlineStr">
        <is>
          <t>QE65QN80HAUXXN</t>
        </is>
      </c>
      <c r="N95" s="120">
        <f>IF(O95="","",O95-P95)</f>
        <v/>
      </c>
      <c r="O95" s="89" t="n">
        <v>1351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55QN80H</t>
        </is>
      </c>
      <c r="C96" s="125" t="inlineStr">
        <is>
          <t>QE55QN80H</t>
        </is>
      </c>
      <c r="D96" s="95">
        <f>IF(E96="","",E96-F96)</f>
        <v/>
      </c>
      <c r="E96" s="89" t="n">
        <v>1079</v>
      </c>
      <c r="F96" s="89" t="n">
        <v>0</v>
      </c>
      <c r="G96" s="90" t="inlineStr"/>
      <c r="H96" s="125" t="inlineStr">
        <is>
          <t>QE55QN80H</t>
        </is>
      </c>
      <c r="I96" s="95">
        <f>IF(J96="","",J96-K96)</f>
        <v/>
      </c>
      <c r="J96" s="89" t="n">
        <v>999.95</v>
      </c>
      <c r="K96" s="89" t="n">
        <v>0</v>
      </c>
      <c r="L96" s="90" t="inlineStr"/>
      <c r="M96" s="125" t="inlineStr">
        <is>
          <t>QE55QN80HAUXXN</t>
        </is>
      </c>
      <c r="N96" s="95">
        <f>IF(O96="","",O96-P96)</f>
        <v/>
      </c>
      <c r="O96" s="89" t="n">
        <v>1000</v>
      </c>
      <c r="P96" s="89" t="n">
        <v>0</v>
      </c>
      <c r="Q96" s="90" t="inlineStr"/>
    </row>
    <row r="97" ht="19.9" customHeight="1" s="55">
      <c r="A97" s="124" t="inlineStr">
        <is>
          <t>QLED</t>
        </is>
      </c>
      <c r="B97" s="124" t="inlineStr">
        <is>
          <t>50QN80H</t>
        </is>
      </c>
      <c r="C97" s="125" t="inlineStr">
        <is>
          <t>QE50QN80H</t>
        </is>
      </c>
      <c r="D97" s="89">
        <f>IF(E97="","",E97-F97)</f>
        <v/>
      </c>
      <c r="E97" s="89" t="n">
        <v>1001</v>
      </c>
      <c r="F97" s="89" t="n">
        <v>0</v>
      </c>
      <c r="G97" s="90" t="inlineStr"/>
      <c r="H97" s="125" t="inlineStr">
        <is>
          <t>QE50QN80H</t>
        </is>
      </c>
      <c r="I97" s="89">
        <f>IF(J97="","",J97-K97)</f>
        <v/>
      </c>
      <c r="J97" s="89" t="n">
        <v>999.95</v>
      </c>
      <c r="K97" s="89" t="n">
        <v>0</v>
      </c>
      <c r="L97" s="90" t="inlineStr"/>
      <c r="M97" s="125" t="inlineStr"/>
      <c r="N97" s="89">
        <f>IF(O97="","",O97-P97)</f>
        <v/>
      </c>
      <c r="O97" s="89" t="inlineStr"/>
      <c r="P97" s="89" t="inlineStr"/>
      <c r="Q97" s="90" t="inlineStr"/>
    </row>
    <row r="98" ht="20" customHeight="1" s="55">
      <c r="A98" s="111" t="inlineStr"/>
      <c r="B98" s="111" t="n"/>
      <c r="C98" s="112" t="inlineStr"/>
      <c r="D98" s="113" t="inlineStr"/>
      <c r="E98" s="113" t="inlineStr"/>
      <c r="F98" s="113" t="inlineStr"/>
      <c r="G98" s="114" t="inlineStr"/>
      <c r="H98" s="112" t="inlineStr"/>
      <c r="I98" s="113" t="inlineStr"/>
      <c r="J98" s="113" t="inlineStr"/>
      <c r="K98" s="113" t="inlineStr"/>
      <c r="L98" s="114" t="inlineStr"/>
      <c r="M98" s="112" t="inlineStr"/>
      <c r="N98" s="113" t="inlineStr"/>
      <c r="O98" s="113" t="inlineStr"/>
      <c r="P98" s="113" t="inlineStr"/>
      <c r="Q98" s="114" t="inlineStr"/>
    </row>
    <row r="99" ht="20" customHeight="1" s="55">
      <c r="A99" s="124" t="inlineStr">
        <is>
          <t>QLED</t>
        </is>
      </c>
      <c r="B99" s="124" t="inlineStr">
        <is>
          <t>85QN70H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75QN70H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65QN70H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55QN70H</t>
        </is>
      </c>
      <c r="C102" s="125" t="inlineStr">
        <is>
          <t>QE55QN70H</t>
        </is>
      </c>
      <c r="D102" s="89">
        <f>IF(E102="","",E102-F102)</f>
        <v/>
      </c>
      <c r="E102" s="89" t="n">
        <v>880.4</v>
      </c>
      <c r="F102" s="89" t="n">
        <v>0</v>
      </c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50QN70H</t>
        </is>
      </c>
      <c r="C103" s="125" t="inlineStr"/>
      <c r="D103" s="89">
        <f>IF(E103="","",E103-F103)</f>
        <v/>
      </c>
      <c r="E103" s="89" t="inlineStr"/>
      <c r="F103" s="89" t="inlineStr"/>
      <c r="G103" s="90" t="inlineStr"/>
      <c r="H103" s="125" t="inlineStr"/>
      <c r="I103" s="89">
        <f>IF(J103="","",J103-K103)</f>
        <v/>
      </c>
      <c r="J103" s="89" t="inlineStr"/>
      <c r="K103" s="89" t="inlineStr"/>
      <c r="L103" s="90" t="inlineStr"/>
      <c r="M103" s="125" t="inlineStr"/>
      <c r="N103" s="89">
        <f>IF(O103="","",O103-P103)</f>
        <v/>
      </c>
      <c r="O103" s="89" t="inlineStr"/>
      <c r="P103" s="89" t="inlineStr"/>
      <c r="Q103" s="90" t="inlineStr"/>
    </row>
    <row r="104" ht="19.9" customHeight="1" s="55">
      <c r="A104" s="124" t="inlineStr">
        <is>
          <t>QLED</t>
        </is>
      </c>
      <c r="B104" s="124" t="inlineStr">
        <is>
          <t>43QN70H</t>
        </is>
      </c>
      <c r="C104" s="125" t="inlineStr"/>
      <c r="D104" s="95">
        <f>IF(E104="","",E104-F104)</f>
        <v/>
      </c>
      <c r="E104" s="96" t="inlineStr"/>
      <c r="F104" s="96" t="inlineStr"/>
      <c r="G104" s="90" t="inlineStr"/>
      <c r="H104" s="125" t="inlineStr"/>
      <c r="I104" s="95">
        <f>IF(J104="","",J104-K104)</f>
        <v/>
      </c>
      <c r="J104" s="96" t="inlineStr"/>
      <c r="K104" s="96" t="inlineStr"/>
      <c r="L104" s="90" t="inlineStr"/>
      <c r="M104" s="125" t="inlineStr"/>
      <c r="N104" s="95">
        <f>IF(O104="","",O104-P104)</f>
        <v/>
      </c>
      <c r="O104" s="96" t="inlineStr"/>
      <c r="P104" s="96" t="inlineStr"/>
      <c r="Q104" s="90" t="inlineStr"/>
    </row>
    <row r="105" ht="20" customHeight="1" s="55">
      <c r="A105" s="111" t="inlineStr"/>
      <c r="B105" s="111" t="n"/>
      <c r="C105" s="112" t="inlineStr"/>
      <c r="D105" s="116" t="inlineStr"/>
      <c r="E105" s="117" t="inlineStr"/>
      <c r="F105" s="117" t="inlineStr"/>
      <c r="G105" s="114" t="inlineStr"/>
      <c r="H105" s="112" t="inlineStr"/>
      <c r="I105" s="116" t="inlineStr"/>
      <c r="J105" s="117" t="inlineStr"/>
      <c r="K105" s="117" t="inlineStr"/>
      <c r="L105" s="114" t="inlineStr"/>
      <c r="M105" s="112" t="inlineStr"/>
      <c r="N105" s="116" t="inlineStr"/>
      <c r="O105" s="117" t="inlineStr"/>
      <c r="P105" s="117" t="inlineStr"/>
      <c r="Q105" s="114" t="inlineStr"/>
    </row>
    <row r="106" ht="20" customHeight="1" s="55">
      <c r="A106" s="124" t="inlineStr">
        <is>
          <t>QLED</t>
        </is>
      </c>
      <c r="B106" s="124" t="inlineStr">
        <is>
          <t>85M80H</t>
        </is>
      </c>
      <c r="C106" s="125" t="inlineStr">
        <is>
          <t>UE85M70H</t>
        </is>
      </c>
      <c r="D106" s="89">
        <f>IF(E106="","",E106-F106)</f>
        <v/>
      </c>
      <c r="E106" s="89" t="n">
        <v>1163</v>
      </c>
      <c r="F106" s="89" t="n">
        <v>0</v>
      </c>
      <c r="G106" s="90" t="inlineStr"/>
      <c r="H106" s="125" t="inlineStr">
        <is>
          <t>UE85M70H</t>
        </is>
      </c>
      <c r="I106" s="89">
        <f>IF(J106="","",J106-K106)</f>
        <v/>
      </c>
      <c r="J106" s="89" t="n">
        <v>1099.95</v>
      </c>
      <c r="K106" s="89" t="n">
        <v>0</v>
      </c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75M80H</t>
        </is>
      </c>
      <c r="C107" s="125" t="inlineStr">
        <is>
          <t>UE75M70H</t>
        </is>
      </c>
      <c r="D107" s="89">
        <f>IF(E107="","",E107-F107)</f>
        <v/>
      </c>
      <c r="E107" s="89" t="n">
        <v>899</v>
      </c>
      <c r="F107" s="89" t="n">
        <v>0</v>
      </c>
      <c r="G107" s="90" t="inlineStr"/>
      <c r="H107" s="125" t="inlineStr">
        <is>
          <t>UE75M70H</t>
        </is>
      </c>
      <c r="I107" s="89">
        <f>IF(J107="","",J107-K107)</f>
        <v/>
      </c>
      <c r="J107" s="89" t="n">
        <v>899.95</v>
      </c>
      <c r="K107" s="89" t="n">
        <v>0</v>
      </c>
      <c r="L107" s="90" t="inlineStr"/>
      <c r="M107" s="125" t="inlineStr">
        <is>
          <t>UE75M70HAUXXN</t>
        </is>
      </c>
      <c r="N107" s="89">
        <f>IF(O107="","",O107-P107)</f>
        <v/>
      </c>
      <c r="O107" s="89" t="n">
        <v>899</v>
      </c>
      <c r="P107" s="89" t="n">
        <v>0</v>
      </c>
      <c r="Q107" s="90" t="inlineStr"/>
    </row>
    <row r="108" ht="20" customHeight="1" s="55">
      <c r="A108" s="124" t="inlineStr">
        <is>
          <t>QLED</t>
        </is>
      </c>
      <c r="B108" s="124" t="inlineStr">
        <is>
          <t>65M80H</t>
        </is>
      </c>
      <c r="C108" s="125" t="inlineStr">
        <is>
          <t>UE65M70H</t>
        </is>
      </c>
      <c r="D108" s="89">
        <f>IF(E108="","",E108-F108)</f>
        <v/>
      </c>
      <c r="E108" s="89" t="n">
        <v>599</v>
      </c>
      <c r="F108" s="89" t="n">
        <v>0</v>
      </c>
      <c r="G108" s="90" t="inlineStr"/>
      <c r="H108" s="125" t="inlineStr">
        <is>
          <t>UE65M70H</t>
        </is>
      </c>
      <c r="I108" s="89">
        <f>IF(J108="","",J108-K108)</f>
        <v/>
      </c>
      <c r="J108" s="89" t="n">
        <v>599.95</v>
      </c>
      <c r="K108" s="89" t="n">
        <v>0</v>
      </c>
      <c r="L108" s="90" t="inlineStr"/>
      <c r="M108" s="125" t="inlineStr">
        <is>
          <t>UE65M70HAU</t>
        </is>
      </c>
      <c r="N108" s="89">
        <f>IF(O108="","",O108-P108)</f>
        <v/>
      </c>
      <c r="O108" s="89" t="n">
        <v>599</v>
      </c>
      <c r="P108" s="89" t="n">
        <v>0</v>
      </c>
      <c r="Q108" s="90" t="inlineStr"/>
    </row>
    <row r="109" ht="20" customHeight="1" s="55">
      <c r="A109" s="124" t="inlineStr">
        <is>
          <t>QLED</t>
        </is>
      </c>
      <c r="B109" s="124" t="inlineStr">
        <is>
          <t>55M80H</t>
        </is>
      </c>
      <c r="C109" s="125" t="inlineStr">
        <is>
          <t>UE55M70H</t>
        </is>
      </c>
      <c r="D109" s="89">
        <f>IF(E109="","",E109-F109)</f>
        <v/>
      </c>
      <c r="E109" s="89" t="n">
        <v>469</v>
      </c>
      <c r="F109" s="89" t="n">
        <v>0</v>
      </c>
      <c r="G109" s="90" t="inlineStr"/>
      <c r="H109" s="125" t="inlineStr">
        <is>
          <t>UE55M70H</t>
        </is>
      </c>
      <c r="I109" s="89">
        <f>IF(J109="","",J109-K109)</f>
        <v/>
      </c>
      <c r="J109" s="89" t="n">
        <v>459.95</v>
      </c>
      <c r="K109" s="89" t="n">
        <v>0</v>
      </c>
      <c r="L109" s="90" t="inlineStr"/>
      <c r="M109" s="125" t="inlineStr">
        <is>
          <t>UE55M70HAUXXN</t>
        </is>
      </c>
      <c r="N109" s="89">
        <f>IF(O109="","",O109-P109)</f>
        <v/>
      </c>
      <c r="O109" s="89" t="n">
        <v>499</v>
      </c>
      <c r="P109" s="89" t="n">
        <v>0</v>
      </c>
      <c r="Q109" s="90" t="inlineStr"/>
    </row>
    <row r="110" ht="20" customHeight="1" s="55">
      <c r="A110" s="124" t="inlineStr">
        <is>
          <t>QLED</t>
        </is>
      </c>
      <c r="B110" s="124" t="inlineStr">
        <is>
          <t>50M80H</t>
        </is>
      </c>
      <c r="C110" s="125" t="inlineStr">
        <is>
          <t>UE50M70H</t>
        </is>
      </c>
      <c r="D110" s="89">
        <f>IF(E110="","",E110-F110)</f>
        <v/>
      </c>
      <c r="E110" s="89" t="n">
        <v>459</v>
      </c>
      <c r="F110" s="89" t="n">
        <v>0</v>
      </c>
      <c r="G110" s="90" t="inlineStr"/>
      <c r="H110" s="125" t="inlineStr">
        <is>
          <t>UE50M70H</t>
        </is>
      </c>
      <c r="I110" s="89">
        <f>IF(J110="","",J110-K110)</f>
        <v/>
      </c>
      <c r="J110" s="89" t="n">
        <v>449.95</v>
      </c>
      <c r="K110" s="89" t="n">
        <v>0</v>
      </c>
      <c r="L110" s="90" t="inlineStr"/>
      <c r="M110" s="125" t="inlineStr">
        <is>
          <t>UE50M70HAU</t>
        </is>
      </c>
      <c r="N110" s="89">
        <f>IF(O110="","",O110-P110)</f>
        <v/>
      </c>
      <c r="O110" s="89" t="n">
        <v>449</v>
      </c>
      <c r="P110" s="89" t="n">
        <v>0</v>
      </c>
      <c r="Q110" s="90" t="inlineStr"/>
    </row>
    <row r="111" ht="19.9" customHeight="1" s="55">
      <c r="A111" s="124" t="inlineStr">
        <is>
          <t>QLED</t>
        </is>
      </c>
      <c r="B111" s="124" t="inlineStr">
        <is>
          <t>43M80H</t>
        </is>
      </c>
      <c r="C111" s="125" t="inlineStr">
        <is>
          <t>UE43M70H</t>
        </is>
      </c>
      <c r="D111" s="89">
        <f>IF(E111="","",E111-F111)</f>
        <v/>
      </c>
      <c r="E111" s="89" t="n">
        <v>432</v>
      </c>
      <c r="F111" s="89" t="n">
        <v>0</v>
      </c>
      <c r="G111" s="90" t="inlineStr"/>
      <c r="H111" s="125" t="inlineStr">
        <is>
          <t>UE43M70H</t>
        </is>
      </c>
      <c r="I111" s="89">
        <f>IF(J111="","",J111-K111)</f>
        <v/>
      </c>
      <c r="J111" s="89" t="n">
        <v>399.95</v>
      </c>
      <c r="K111" s="89" t="n">
        <v>0</v>
      </c>
      <c r="L111" s="90" t="inlineStr"/>
      <c r="M111" s="125" t="inlineStr">
        <is>
          <t>UE43M70HAUXXN</t>
        </is>
      </c>
      <c r="N111" s="89">
        <f>IF(O111="","",O111-P111)</f>
        <v/>
      </c>
      <c r="O111" s="89" t="n">
        <v>399</v>
      </c>
      <c r="P111" s="89" t="n">
        <v>0</v>
      </c>
      <c r="Q111" s="90" t="inlineStr"/>
    </row>
    <row r="112" ht="20" customHeight="1" s="55">
      <c r="A112" s="111" t="inlineStr"/>
      <c r="B112" s="111" t="n"/>
      <c r="C112" s="112" t="inlineStr"/>
      <c r="D112" s="116" t="inlineStr"/>
      <c r="E112" s="117" t="inlineStr"/>
      <c r="F112" s="117" t="inlineStr"/>
      <c r="G112" s="114" t="inlineStr"/>
      <c r="H112" s="112" t="inlineStr"/>
      <c r="I112" s="116" t="inlineStr"/>
      <c r="J112" s="117" t="inlineStr"/>
      <c r="K112" s="117" t="inlineStr"/>
      <c r="L112" s="114" t="inlineStr"/>
      <c r="M112" s="112" t="inlineStr"/>
      <c r="N112" s="116" t="inlineStr"/>
      <c r="O112" s="117" t="inlineStr"/>
      <c r="P112" s="117" t="inlineStr"/>
      <c r="Q112" s="114" t="inlineStr"/>
    </row>
    <row r="113" ht="20" customHeight="1" s="55">
      <c r="A113" s="124" t="inlineStr">
        <is>
          <t>QLED</t>
        </is>
      </c>
      <c r="B113" s="124" t="inlineStr">
        <is>
          <t>85M70H</t>
        </is>
      </c>
      <c r="C113" s="125" t="inlineStr">
        <is>
          <t>UE85M70H</t>
        </is>
      </c>
      <c r="D113" s="89">
        <f>IF(E113="","",E113-F113)</f>
        <v/>
      </c>
      <c r="E113" s="89" t="n">
        <v>1163</v>
      </c>
      <c r="F113" s="89" t="n">
        <v>0</v>
      </c>
      <c r="G113" s="90" t="inlineStr"/>
      <c r="H113" s="125" t="inlineStr">
        <is>
          <t>UE85M70H</t>
        </is>
      </c>
      <c r="I113" s="89">
        <f>IF(J113="","",J113-K113)</f>
        <v/>
      </c>
      <c r="J113" s="89" t="n">
        <v>1099.95</v>
      </c>
      <c r="K113" s="89" t="n">
        <v>0</v>
      </c>
      <c r="L113" s="90" t="inlineStr"/>
      <c r="M113" s="125" t="inlineStr"/>
      <c r="N113" s="89">
        <f>IF(O113="","",O113-P113)</f>
        <v/>
      </c>
      <c r="O113" s="89" t="inlineStr"/>
      <c r="P113" s="89" t="inlineStr"/>
      <c r="Q113" s="90" t="inlineStr"/>
    </row>
    <row r="114" ht="20" customHeight="1" s="55">
      <c r="A114" s="124" t="inlineStr">
        <is>
          <t>QLED</t>
        </is>
      </c>
      <c r="B114" s="124" t="inlineStr">
        <is>
          <t>75M70H</t>
        </is>
      </c>
      <c r="C114" s="125" t="inlineStr">
        <is>
          <t>UE75M70H</t>
        </is>
      </c>
      <c r="D114" s="89">
        <f>IF(E114="","",E114-F114)</f>
        <v/>
      </c>
      <c r="E114" s="89" t="n">
        <v>899</v>
      </c>
      <c r="F114" s="89" t="n">
        <v>0</v>
      </c>
      <c r="G114" s="90" t="inlineStr"/>
      <c r="H114" s="125" t="inlineStr">
        <is>
          <t>UE75M70H</t>
        </is>
      </c>
      <c r="I114" s="89">
        <f>IF(J114="","",J114-K114)</f>
        <v/>
      </c>
      <c r="J114" s="89" t="n">
        <v>899.95</v>
      </c>
      <c r="K114" s="89" t="n">
        <v>0</v>
      </c>
      <c r="L114" s="90" t="inlineStr"/>
      <c r="M114" s="125" t="inlineStr">
        <is>
          <t>UE75M70HAUXXN</t>
        </is>
      </c>
      <c r="N114" s="89">
        <f>IF(O114="","",O114-P114)</f>
        <v/>
      </c>
      <c r="O114" s="89" t="n">
        <v>899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65M70H</t>
        </is>
      </c>
      <c r="C115" s="125" t="inlineStr">
        <is>
          <t>UE65M70H</t>
        </is>
      </c>
      <c r="D115" s="89">
        <f>IF(E115="","",E115-F115)</f>
        <v/>
      </c>
      <c r="E115" s="89" t="n">
        <v>599</v>
      </c>
      <c r="F115" s="89" t="n">
        <v>0</v>
      </c>
      <c r="G115" s="90" t="inlineStr"/>
      <c r="H115" s="125" t="inlineStr">
        <is>
          <t>UE65M70H</t>
        </is>
      </c>
      <c r="I115" s="89">
        <f>IF(J115="","",J115-K115)</f>
        <v/>
      </c>
      <c r="J115" s="89" t="n">
        <v>599.95</v>
      </c>
      <c r="K115" s="89" t="n">
        <v>0</v>
      </c>
      <c r="L115" s="90" t="inlineStr"/>
      <c r="M115" s="125" t="inlineStr">
        <is>
          <t>UE65M70HAU</t>
        </is>
      </c>
      <c r="N115" s="89">
        <f>IF(O115="","",O115-P115)</f>
        <v/>
      </c>
      <c r="O115" s="89" t="n">
        <v>599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55M70H</t>
        </is>
      </c>
      <c r="C116" s="125" t="inlineStr">
        <is>
          <t>UE55M70H</t>
        </is>
      </c>
      <c r="D116" s="89">
        <f>IF(E116="","",E116-F116)</f>
        <v/>
      </c>
      <c r="E116" s="89" t="n">
        <v>469</v>
      </c>
      <c r="F116" s="89" t="n">
        <v>0</v>
      </c>
      <c r="G116" s="90" t="inlineStr"/>
      <c r="H116" s="125" t="inlineStr">
        <is>
          <t>UE55M70H</t>
        </is>
      </c>
      <c r="I116" s="89">
        <f>IF(J116="","",J116-K116)</f>
        <v/>
      </c>
      <c r="J116" s="89" t="n">
        <v>459.95</v>
      </c>
      <c r="K116" s="89" t="n">
        <v>0</v>
      </c>
      <c r="L116" s="90" t="inlineStr"/>
      <c r="M116" s="125" t="inlineStr">
        <is>
          <t>UE55M70HAUXXN</t>
        </is>
      </c>
      <c r="N116" s="89">
        <f>IF(O116="","",O116-P116)</f>
        <v/>
      </c>
      <c r="O116" s="89" t="n">
        <v>499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50M70H</t>
        </is>
      </c>
      <c r="C117" s="125" t="inlineStr">
        <is>
          <t>UE50M70H</t>
        </is>
      </c>
      <c r="D117" s="89">
        <f>IF(E117="","",E117-F117)</f>
        <v/>
      </c>
      <c r="E117" s="89" t="n">
        <v>459</v>
      </c>
      <c r="F117" s="89" t="n">
        <v>0</v>
      </c>
      <c r="G117" s="90" t="inlineStr"/>
      <c r="H117" s="125" t="inlineStr">
        <is>
          <t>UE50M70H</t>
        </is>
      </c>
      <c r="I117" s="89">
        <f>IF(J117="","",J117-K117)</f>
        <v/>
      </c>
      <c r="J117" s="89" t="n">
        <v>449.95</v>
      </c>
      <c r="K117" s="89" t="n">
        <v>0</v>
      </c>
      <c r="L117" s="90" t="inlineStr"/>
      <c r="M117" s="125" t="inlineStr">
        <is>
          <t>UE50M70HAU</t>
        </is>
      </c>
      <c r="N117" s="89">
        <f>IF(O117="","",O117-P117)</f>
        <v/>
      </c>
      <c r="O117" s="89" t="n">
        <v>449</v>
      </c>
      <c r="P117" s="89" t="n">
        <v>0</v>
      </c>
      <c r="Q117" s="90" t="inlineStr"/>
    </row>
    <row r="118" ht="19.9" customHeight="1" s="55">
      <c r="A118" s="124" t="inlineStr">
        <is>
          <t>QLED</t>
        </is>
      </c>
      <c r="B118" s="124" t="inlineStr">
        <is>
          <t>43M70H</t>
        </is>
      </c>
      <c r="C118" s="125" t="inlineStr">
        <is>
          <t>UE43M70H</t>
        </is>
      </c>
      <c r="D118" s="89">
        <f>IF(E118="","",E118-F118)</f>
        <v/>
      </c>
      <c r="E118" s="89" t="n">
        <v>432</v>
      </c>
      <c r="F118" s="89" t="n">
        <v>0</v>
      </c>
      <c r="G118" s="90" t="inlineStr"/>
      <c r="H118" s="125" t="inlineStr">
        <is>
          <t>UE43M70H</t>
        </is>
      </c>
      <c r="I118" s="89">
        <f>IF(J118="","",J118-K118)</f>
        <v/>
      </c>
      <c r="J118" s="89" t="n">
        <v>399.95</v>
      </c>
      <c r="K118" s="89" t="n">
        <v>0</v>
      </c>
      <c r="L118" s="90" t="inlineStr"/>
      <c r="M118" s="125" t="inlineStr">
        <is>
          <t>UE43M70HAUXXN</t>
        </is>
      </c>
      <c r="N118" s="89">
        <f>IF(O118="","",O118-P118)</f>
        <v/>
      </c>
      <c r="O118" s="89" t="n">
        <v>399</v>
      </c>
      <c r="P118" s="89" t="n">
        <v>0</v>
      </c>
      <c r="Q118" s="90" t="inlineStr"/>
    </row>
    <row r="119" ht="20" customHeight="1" s="55">
      <c r="A119" s="111" t="inlineStr"/>
      <c r="B119" s="111" t="n"/>
      <c r="C119" s="112" t="inlineStr"/>
      <c r="D119" s="113" t="inlineStr"/>
      <c r="E119" s="113" t="inlineStr"/>
      <c r="F119" s="113" t="inlineStr"/>
      <c r="G119" s="114" t="inlineStr"/>
      <c r="H119" s="112" t="inlineStr"/>
      <c r="I119" s="113" t="inlineStr"/>
      <c r="J119" s="113" t="inlineStr"/>
      <c r="K119" s="113" t="inlineStr"/>
      <c r="L119" s="114" t="inlineStr"/>
      <c r="M119" s="112" t="inlineStr"/>
      <c r="N119" s="113" t="inlineStr"/>
      <c r="O119" s="113" t="inlineStr"/>
      <c r="P119" s="113" t="inlineStr"/>
      <c r="Q119" s="114" t="inlineStr"/>
    </row>
    <row r="120" ht="20" customHeight="1" s="55">
      <c r="A120" s="123" t="inlineStr">
        <is>
          <t>UHD 4K</t>
        </is>
      </c>
      <c r="B120" s="123" t="inlineStr">
        <is>
          <t>86NU85</t>
        </is>
      </c>
      <c r="C120" s="83" t="inlineStr"/>
      <c r="D120" s="103">
        <f>IF(E120="","",E120-F120)</f>
        <v/>
      </c>
      <c r="E120" s="104" t="inlineStr"/>
      <c r="F120" s="104" t="inlineStr"/>
      <c r="G120" s="85">
        <f>IFERROR(D120/D4,"")</f>
        <v/>
      </c>
      <c r="H120" s="83" t="inlineStr"/>
      <c r="I120" s="103">
        <f>IF(J120="","",J120-K120)</f>
        <v/>
      </c>
      <c r="J120" s="104" t="inlineStr"/>
      <c r="K120" s="104" t="inlineStr"/>
      <c r="L120" s="85">
        <f>IFERROR(I120/I4,"")</f>
        <v/>
      </c>
      <c r="M120" s="83" t="inlineStr">
        <is>
          <t>85NU800B6LA</t>
        </is>
      </c>
      <c r="N120" s="103">
        <f>IF(O120="","",O120-P120)</f>
        <v/>
      </c>
      <c r="O120" s="104" t="n">
        <v>1137</v>
      </c>
      <c r="P120" s="104" t="n">
        <v>0</v>
      </c>
      <c r="Q120" s="85">
        <f>IFERROR(N120/N4,"")</f>
        <v/>
      </c>
    </row>
    <row r="121" ht="20" customHeight="1" s="55">
      <c r="A121" s="123" t="inlineStr">
        <is>
          <t>UHD 4K</t>
        </is>
      </c>
      <c r="B121" s="123" t="inlineStr">
        <is>
          <t>75NU85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IFERROR(D121/D5,"")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IFERROR(I121/I5,"")</f>
        <v/>
      </c>
      <c r="M121" s="83" t="inlineStr">
        <is>
          <t>75NU800B6LA</t>
        </is>
      </c>
      <c r="N121" s="84">
        <f>IF(O121="","",O121-P121)</f>
        <v/>
      </c>
      <c r="O121" s="84" t="n">
        <v>777</v>
      </c>
      <c r="P121" s="84" t="n">
        <v>0</v>
      </c>
      <c r="Q121" s="85">
        <f>IFERROR(N121/N5,"")</f>
        <v/>
      </c>
    </row>
    <row r="122" ht="20" customHeight="1" s="55">
      <c r="A122" s="123" t="inlineStr">
        <is>
          <t>UHD 4K</t>
        </is>
      </c>
      <c r="B122" s="123" t="inlineStr">
        <is>
          <t>65NU85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IFERROR(D122/D6,"")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IFERROR(I122/I6,"")</f>
        <v/>
      </c>
      <c r="M122" s="83" t="inlineStr">
        <is>
          <t>65NU800B6LA</t>
        </is>
      </c>
      <c r="N122" s="84">
        <f>IF(O122="","",O122-P122)</f>
        <v/>
      </c>
      <c r="O122" s="84" t="n">
        <v>632</v>
      </c>
      <c r="P122" s="84" t="n">
        <v>0</v>
      </c>
      <c r="Q122" s="85">
        <f>IFERROR(N122/N6,"")</f>
        <v/>
      </c>
    </row>
    <row r="123" ht="20" customHeight="1" s="55">
      <c r="A123" s="123" t="inlineStr">
        <is>
          <t>UHD 4K</t>
        </is>
      </c>
      <c r="B123" s="123" t="inlineStr">
        <is>
          <t>55NU85</t>
        </is>
      </c>
      <c r="C123" s="83" t="inlineStr"/>
      <c r="D123" s="84">
        <f>IF(E123="","",E123-F123)</f>
        <v/>
      </c>
      <c r="E123" s="84" t="inlineStr"/>
      <c r="F123" s="84" t="inlineStr"/>
      <c r="G123" s="85">
        <f>IFERROR(D123/D7,"")</f>
        <v/>
      </c>
      <c r="H123" s="83" t="inlineStr"/>
      <c r="I123" s="84">
        <f>IF(J123="","",J123-K123)</f>
        <v/>
      </c>
      <c r="J123" s="84" t="inlineStr"/>
      <c r="K123" s="84" t="inlineStr"/>
      <c r="L123" s="85">
        <f>IFERROR(I123/I7,"")</f>
        <v/>
      </c>
      <c r="M123" s="83" t="inlineStr">
        <is>
          <t>55NU800B6LA</t>
        </is>
      </c>
      <c r="N123" s="84">
        <f>IF(O123="","",O123-P123)</f>
        <v/>
      </c>
      <c r="O123" s="84" t="n">
        <v>482</v>
      </c>
      <c r="P123" s="84" t="n">
        <v>0</v>
      </c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50NU85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>
        <is>
          <t>50NU800B6LC</t>
        </is>
      </c>
      <c r="N124" s="104">
        <f>IF(O124="","",O124-P124)</f>
        <v/>
      </c>
      <c r="O124" s="104" t="n">
        <v>428</v>
      </c>
      <c r="P124" s="104" t="n">
        <v>0</v>
      </c>
      <c r="Q124" s="85">
        <f>IFERROR(N124/N7,"")</f>
        <v/>
      </c>
    </row>
    <row r="125" ht="19.9" customFormat="1" customHeight="1" s="2">
      <c r="A125" s="123" t="inlineStr">
        <is>
          <t>UHD 4K</t>
        </is>
      </c>
      <c r="B125" s="123" t="inlineStr">
        <is>
          <t>43NU85</t>
        </is>
      </c>
      <c r="C125" s="83" t="inlineStr"/>
      <c r="D125" s="104">
        <f>IF(E125="","",E125-F125)</f>
        <v/>
      </c>
      <c r="E125" s="104" t="inlineStr"/>
      <c r="F125" s="104" t="inlineStr"/>
      <c r="G125" s="85">
        <f>IFERROR(D125/D7,"")</f>
        <v/>
      </c>
      <c r="H125" s="83" t="inlineStr"/>
      <c r="I125" s="104">
        <f>IF(J125="","",J125-K125)</f>
        <v/>
      </c>
      <c r="J125" s="104" t="inlineStr"/>
      <c r="K125" s="104" t="inlineStr"/>
      <c r="L125" s="85">
        <f>IFERROR(I125/I7,"")</f>
        <v/>
      </c>
      <c r="M125" s="83" t="inlineStr">
        <is>
          <t>43NU800B6LC</t>
        </is>
      </c>
      <c r="N125" s="104">
        <f>IF(O125="","",O125-P125)</f>
        <v/>
      </c>
      <c r="O125" s="104" t="n">
        <v>370</v>
      </c>
      <c r="P125" s="104" t="n">
        <v>0</v>
      </c>
      <c r="Q125" s="85">
        <f>IFERROR(N125/N7,"")</f>
        <v/>
      </c>
    </row>
    <row r="126" ht="20" customHeight="1" s="55">
      <c r="A126" s="105" t="inlineStr"/>
      <c r="B126" s="105" t="n"/>
      <c r="C126" s="92" t="inlineStr"/>
      <c r="D126" s="121" t="inlineStr"/>
      <c r="E126" s="121" t="inlineStr"/>
      <c r="F126" s="121" t="inlineStr"/>
      <c r="G126" s="94" t="inlineStr"/>
      <c r="H126" s="92" t="inlineStr"/>
      <c r="I126" s="121" t="inlineStr"/>
      <c r="J126" s="121" t="inlineStr"/>
      <c r="K126" s="121" t="inlineStr"/>
      <c r="L126" s="94" t="inlineStr"/>
      <c r="M126" s="92" t="inlineStr"/>
      <c r="N126" s="121" t="inlineStr"/>
      <c r="O126" s="121" t="inlineStr"/>
      <c r="P126" s="121" t="inlineStr"/>
      <c r="Q126" s="94" t="inlineStr"/>
    </row>
    <row r="127" ht="20" customHeight="1" s="55">
      <c r="A127" s="124" t="inlineStr">
        <is>
          <t>UHD 4K</t>
        </is>
      </c>
      <c r="B127" s="124" t="inlineStr">
        <is>
          <t>85U8000H</t>
        </is>
      </c>
      <c r="C127" s="125" t="inlineStr">
        <is>
          <t>UE85U8090H</t>
        </is>
      </c>
      <c r="D127" s="89">
        <f>IF(E127="","",E127-F127)</f>
        <v/>
      </c>
      <c r="E127" s="89" t="n">
        <v>1212</v>
      </c>
      <c r="F127" s="89" t="n">
        <v>0</v>
      </c>
      <c r="G127" s="90" t="inlineStr"/>
      <c r="H127" s="125" t="inlineStr"/>
      <c r="I127" s="96">
        <f>IF(J127="","",J127-K127)</f>
        <v/>
      </c>
      <c r="J127" s="96" t="inlineStr"/>
      <c r="K127" s="96" t="inlineStr"/>
      <c r="L127" s="90" t="inlineStr"/>
      <c r="M127" s="125" t="inlineStr">
        <is>
          <t>UE85U8090HUXXN</t>
        </is>
      </c>
      <c r="N127" s="96">
        <f>IF(O127="","",O127-P127)</f>
        <v/>
      </c>
      <c r="O127" s="89" t="n">
        <v>1099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75U8000H</t>
        </is>
      </c>
      <c r="C128" s="125" t="inlineStr">
        <is>
          <t>UE75U8090H</t>
        </is>
      </c>
      <c r="D128" s="89">
        <f>IF(E128="","",E128-F128)</f>
        <v/>
      </c>
      <c r="E128" s="89" t="n">
        <v>835</v>
      </c>
      <c r="F128" s="89" t="n">
        <v>0</v>
      </c>
      <c r="G128" s="90" t="inlineStr"/>
      <c r="H128" s="125" t="inlineStr">
        <is>
          <t>UE75U8090H</t>
        </is>
      </c>
      <c r="I128" s="96">
        <f>IF(J128="","",J128-K128)</f>
        <v/>
      </c>
      <c r="J128" s="89" t="n">
        <v>849.95</v>
      </c>
      <c r="K128" s="89" t="n">
        <v>0</v>
      </c>
      <c r="L128" s="90" t="inlineStr"/>
      <c r="M128" s="125" t="inlineStr">
        <is>
          <t>UE75U8090HUXXN</t>
        </is>
      </c>
      <c r="N128" s="96">
        <f>IF(O128="","",O128-P128)</f>
        <v/>
      </c>
      <c r="O128" s="89" t="n">
        <v>829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UE65U8090H</t>
        </is>
      </c>
      <c r="I129" s="96">
        <f>IF(J129="","",J129-K129)</f>
        <v/>
      </c>
      <c r="J129" s="89" t="n">
        <v>579.95</v>
      </c>
      <c r="K129" s="89" t="n">
        <v>0</v>
      </c>
      <c r="L129" s="90" t="inlineStr"/>
      <c r="M129" s="125" t="inlineStr">
        <is>
          <t>UE65U8090HUXXN</t>
        </is>
      </c>
      <c r="N129" s="96">
        <f>IF(O129="","",O129-P129)</f>
        <v/>
      </c>
      <c r="O129" s="89" t="n">
        <v>579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55U8000H</t>
        </is>
      </c>
      <c r="C130" s="125" t="inlineStr">
        <is>
          <t>UE55U8090H</t>
        </is>
      </c>
      <c r="D130" s="89">
        <f>IF(E130="","",E130-F130)</f>
        <v/>
      </c>
      <c r="E130" s="89" t="n">
        <v>470.95</v>
      </c>
      <c r="F130" s="89" t="n">
        <v>0</v>
      </c>
      <c r="G130" s="90" t="inlineStr"/>
      <c r="H130" s="125" t="inlineStr">
        <is>
          <t>UE55U8090H</t>
        </is>
      </c>
      <c r="I130" s="96">
        <f>IF(J130="","",J130-K130)</f>
        <v/>
      </c>
      <c r="J130" s="89" t="n">
        <v>449.95</v>
      </c>
      <c r="K130" s="89" t="n">
        <v>0</v>
      </c>
      <c r="L130" s="90" t="inlineStr"/>
      <c r="M130" s="125" t="inlineStr">
        <is>
          <t>UE55U8090HUXXN</t>
        </is>
      </c>
      <c r="N130" s="96">
        <f>IF(O130="","",O130-P130)</f>
        <v/>
      </c>
      <c r="O130" s="89" t="n">
        <v>439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50U8000H</t>
        </is>
      </c>
      <c r="C131" s="125" t="inlineStr">
        <is>
          <t>UE50U8090H</t>
        </is>
      </c>
      <c r="D131" s="89">
        <f>IF(E131="","",E131-F131)</f>
        <v/>
      </c>
      <c r="E131" s="89" t="n">
        <v>441.3</v>
      </c>
      <c r="F131" s="89" t="n">
        <v>0</v>
      </c>
      <c r="G131" s="90" t="inlineStr"/>
      <c r="H131" s="125" t="inlineStr">
        <is>
          <t>UE50U8090H</t>
        </is>
      </c>
      <c r="I131" s="96">
        <f>IF(J131="","",J131-K131)</f>
        <v/>
      </c>
      <c r="J131" s="89" t="n">
        <v>449.95</v>
      </c>
      <c r="K131" s="89" t="n">
        <v>0</v>
      </c>
      <c r="L131" s="90" t="inlineStr"/>
      <c r="M131" s="125" t="inlineStr">
        <is>
          <t>UE50U8090HUXXN</t>
        </is>
      </c>
      <c r="N131" s="96">
        <f>IF(O131="","",O131-P131)</f>
        <v/>
      </c>
      <c r="O131" s="89" t="n">
        <v>419</v>
      </c>
      <c r="P131" s="89" t="n">
        <v>0</v>
      </c>
      <c r="Q131" s="90" t="inlineStr"/>
    </row>
    <row r="132" ht="20.1" customHeight="1" s="55">
      <c r="A132" s="124" t="inlineStr">
        <is>
          <t>UHD 4K</t>
        </is>
      </c>
      <c r="B132" s="124" t="inlineStr">
        <is>
          <t>43U8000H</t>
        </is>
      </c>
      <c r="C132" s="125" t="inlineStr">
        <is>
          <t>UE43U8090H</t>
        </is>
      </c>
      <c r="D132" s="89">
        <f>IF(E132="","",E132-F132)</f>
        <v/>
      </c>
      <c r="E132" s="89" t="n">
        <v>500</v>
      </c>
      <c r="F132" s="89" t="n">
        <v>0</v>
      </c>
      <c r="G132" s="90" t="inlineStr"/>
      <c r="H132" s="125" t="inlineStr">
        <is>
          <t>UE43U8090H</t>
        </is>
      </c>
      <c r="I132" s="96">
        <f>IF(J132="","",J132-K132)</f>
        <v/>
      </c>
      <c r="J132" s="89" t="n">
        <v>399.95</v>
      </c>
      <c r="K132" s="89" t="n">
        <v>0</v>
      </c>
      <c r="L132" s="90" t="inlineStr"/>
      <c r="M132" s="125" t="inlineStr">
        <is>
          <t>UE43U8090HUXXN</t>
        </is>
      </c>
      <c r="N132" s="96">
        <f>IF(O132="","",O132-P132)</f>
        <v/>
      </c>
      <c r="O132" s="96" t="n">
        <v>429</v>
      </c>
      <c r="P132" s="96" t="n">
        <v>0</v>
      </c>
      <c r="Q132" s="90" t="inlineStr"/>
    </row>
    <row r="133" hidden="1" ht="24" customHeight="1" s="55">
      <c r="A133" s="7" t="n"/>
      <c r="B133" s="7" t="n"/>
      <c r="C133" s="133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0" t="n"/>
      <c r="M133" s="70" t="n"/>
      <c r="N133" s="70" t="n"/>
      <c r="O133" s="70" t="n"/>
      <c r="P133" s="70" t="n"/>
      <c r="Q133" s="71" t="n"/>
    </row>
    <row r="134" hidden="1" ht="20" customHeight="1" s="55">
      <c r="A134" s="126" t="inlineStr">
        <is>
          <t>Display</t>
        </is>
      </c>
      <c r="B134" s="126" t="inlineStr">
        <is>
          <t>Series</t>
        </is>
      </c>
      <c r="C134" s="127" t="inlineStr">
        <is>
          <t>VLOOKUP Summary</t>
        </is>
      </c>
      <c r="D134" s="128" t="n"/>
      <c r="E134" s="128" t="n"/>
      <c r="F134" s="128" t="n"/>
      <c r="G134" s="128" t="n"/>
      <c r="H134" s="128" t="n"/>
      <c r="I134" s="128" t="n"/>
      <c r="J134" s="128" t="n"/>
      <c r="K134" s="128" t="n"/>
      <c r="L134" s="128" t="n"/>
      <c r="M134" s="128" t="n"/>
      <c r="N134" s="128" t="n"/>
      <c r="O134" s="128" t="n"/>
      <c r="P134" s="128" t="n"/>
      <c r="Q134" s="129" t="n"/>
    </row>
    <row r="135" hidden="1" ht="20" customHeight="1" s="55">
      <c r="A135" s="123" t="inlineStr">
        <is>
          <t>OLED</t>
        </is>
      </c>
      <c r="B135" s="123" t="inlineStr">
        <is>
          <t>55G6</t>
        </is>
      </c>
      <c r="C135" s="83">
        <f>IF(VLOOKUP($B135,$B$4:$Q$132,2,FALSE)=0,"",VLOOKUP($B135,$B$4:$Q$132,2,FALSE))</f>
        <v/>
      </c>
      <c r="D135" s="103">
        <f>IF(E135="","",E135-F135)</f>
        <v/>
      </c>
      <c r="E135" s="104">
        <f>IF(ISNA(VLOOKUP($B135,$B$4:$Q$132,4,FALSE)),"",VLOOKUP($B135,$B$4:$Q$132,4,FALSE))</f>
        <v/>
      </c>
      <c r="F135" s="104">
        <f>IF(ISNA(VLOOKUP($B135,$B$4:$Q$132,5,FALSE)),"",VLOOKUP($B135,$B$4:$Q$132,5,FALSE))</f>
        <v/>
      </c>
      <c r="G135" s="85">
        <f>IFERROR(D135/D135,"")</f>
        <v/>
      </c>
      <c r="H135" s="83">
        <f>IF(VLOOKUP($B135,$B$4:$Q$132,7,FALSE)=0,"",VLOOKUP($B135,$B$4:$Q$132,7,FALSE))</f>
        <v/>
      </c>
      <c r="I135" s="103">
        <f>IF(J135="","",J135-K135)</f>
        <v/>
      </c>
      <c r="J135" s="104">
        <f>IF(ISNA(VLOOKUP($B135,$B$4:$Q$132,9,FALSE)),"",VLOOKUP($B135,$B$4:$Q$132,9,FALSE))</f>
        <v/>
      </c>
      <c r="K135" s="104">
        <f>IF(ISNA(VLOOKUP($B135,$B$4:$Q$132,10,FALSE)),"",VLOOKUP($B135,$B$4:$Q$132,10,FALSE))</f>
        <v/>
      </c>
      <c r="L135" s="85">
        <f>IFERROR(I135/I135,"")</f>
        <v/>
      </c>
      <c r="M135" s="83">
        <f>IF(VLOOKUP($B135,$B$4:$Q$132,12,FALSE)=0,"",VLOOKUP($B135,$B$4:$Q$132,12,FALSE))</f>
        <v/>
      </c>
      <c r="N135" s="103">
        <f>IF(O135="","",O135-P135)</f>
        <v/>
      </c>
      <c r="O135" s="104">
        <f>IF(ISNA(VLOOKUP($B135,$B$4:$Q$132,14,FALSE)),"",VLOOKUP($B135,$B$4:$Q$132,14,FALSE))</f>
        <v/>
      </c>
      <c r="P135" s="104">
        <f>IF(ISNA(VLOOKUP($B135,$B$4:$Q$132,15,FALSE)),"",VLOOKUP($B135,$B$4:$Q$132,15,FALSE))</f>
        <v/>
      </c>
      <c r="Q135" s="85">
        <f>IFERROR(N135/N135,"")</f>
        <v/>
      </c>
    </row>
    <row r="136" hidden="1" ht="20" customHeight="1" s="55">
      <c r="A136" s="123" t="inlineStr">
        <is>
          <t>OLED</t>
        </is>
      </c>
      <c r="B136" s="123" t="inlineStr">
        <is>
          <t>55C6</t>
        </is>
      </c>
      <c r="C136" s="83">
        <f>IF(VLOOKUP($B136,$B$4:$Q$132,2,FALSE)=0,"",VLOOKUP($B136,$B$4:$Q$132,2,FALSE))</f>
        <v/>
      </c>
      <c r="D136" s="103">
        <f>IF(E136="","",E136-F136)</f>
        <v/>
      </c>
      <c r="E136" s="104">
        <f>IF(ISNA(VLOOKUP($B136,$B$4:$Q$132,4,FALSE)),"",VLOOKUP($B136,$B$4:$Q$132,4,FALSE))</f>
        <v/>
      </c>
      <c r="F136" s="104">
        <f>IF(ISNA(VLOOKUP($B136,$B$4:$Q$132,5,FALSE)),"",VLOOKUP($B136,$B$4:$Q$132,5,FALSE))</f>
        <v/>
      </c>
      <c r="G136" s="85">
        <f>IFERROR(D136/D135,"")</f>
        <v/>
      </c>
      <c r="H136" s="83">
        <f>IF(VLOOKUP($B136,$B$4:$Q$132,7,FALSE)=0,"",VLOOKUP($B136,$B$4:$Q$132,7,FALSE))</f>
        <v/>
      </c>
      <c r="I136" s="103">
        <f>IF(J136="","",J136-K136)</f>
        <v/>
      </c>
      <c r="J136" s="104">
        <f>IF(ISNA(VLOOKUP($B136,$B$4:$Q$132,9,FALSE)),"",VLOOKUP($B136,$B$4:$Q$132,9,FALSE))</f>
        <v/>
      </c>
      <c r="K136" s="104">
        <f>IF(ISNA(VLOOKUP($B136,$B$4:$Q$132,10,FALSE)),"",VLOOKUP($B136,$B$4:$Q$132,10,FALSE))</f>
        <v/>
      </c>
      <c r="L136" s="85">
        <f>IFERROR(I136/I135,"")</f>
        <v/>
      </c>
      <c r="M136" s="83">
        <f>IF(VLOOKUP($B136,$B$4:$Q$132,12,FALSE)=0,"",VLOOKUP($B136,$B$4:$Q$132,12,FALSE))</f>
        <v/>
      </c>
      <c r="N136" s="103">
        <f>IF(O136="","",O136-P136)</f>
        <v/>
      </c>
      <c r="O136" s="104">
        <f>IF(ISNA(VLOOKUP($B136,$B$4:$Q$132,14,FALSE)),"",VLOOKUP($B136,$B$4:$Q$132,14,FALSE))</f>
        <v/>
      </c>
      <c r="P136" s="104">
        <f>IF(ISNA(VLOOKUP($B136,$B$4:$Q$132,15,FALSE)),"",VLOOKUP($B136,$B$4:$Q$132,15,FALSE))</f>
        <v/>
      </c>
      <c r="Q136" s="85">
        <f>IFERROR(N136/N135,"")</f>
        <v/>
      </c>
    </row>
    <row r="137" hidden="1" ht="20" customHeight="1" s="55">
      <c r="A137" s="123" t="inlineStr">
        <is>
          <t>OLED</t>
        </is>
      </c>
      <c r="B137" s="123" t="inlineStr">
        <is>
          <t>55B6</t>
        </is>
      </c>
      <c r="C137" s="83">
        <f>IF(VLOOKUP($B137,$B$4:$Q$132,2,FALSE)=0,"",VLOOKUP($B137,$B$4:$Q$132,2,FALSE))</f>
        <v/>
      </c>
      <c r="D137" s="103">
        <f>IF(E137="","",E137-F137)</f>
        <v/>
      </c>
      <c r="E137" s="104">
        <f>IF(ISNA(VLOOKUP($B137,$B$4:$Q$132,4,FALSE)),"",VLOOKUP($B137,$B$4:$Q$132,4,FALSE))</f>
        <v/>
      </c>
      <c r="F137" s="104">
        <f>IF(ISNA(VLOOKUP($B137,$B$4:$Q$132,5,FALSE)),"",VLOOKUP($B137,$B$4:$Q$132,5,FALSE))</f>
        <v/>
      </c>
      <c r="G137" s="85">
        <f>IFERROR(D137/D135,"")</f>
        <v/>
      </c>
      <c r="H137" s="83">
        <f>IF(VLOOKUP($B137,$B$4:$Q$132,7,FALSE)=0,"",VLOOKUP($B137,$B$4:$Q$132,7,FALSE))</f>
        <v/>
      </c>
      <c r="I137" s="103">
        <f>IF(J137="","",J137-K137)</f>
        <v/>
      </c>
      <c r="J137" s="104">
        <f>IF(ISNA(VLOOKUP($B137,$B$4:$Q$132,9,FALSE)),"",VLOOKUP($B137,$B$4:$Q$132,9,FALSE))</f>
        <v/>
      </c>
      <c r="K137" s="104">
        <f>IF(ISNA(VLOOKUP($B137,$B$4:$Q$132,10,FALSE)),"",VLOOKUP($B137,$B$4:$Q$132,10,FALSE))</f>
        <v/>
      </c>
      <c r="L137" s="85">
        <f>IFERROR(I137/I135,"")</f>
        <v/>
      </c>
      <c r="M137" s="83">
        <f>IF(VLOOKUP($B137,$B$4:$Q$132,12,FALSE)=0,"",VLOOKUP($B137,$B$4:$Q$132,12,FALSE))</f>
        <v/>
      </c>
      <c r="N137" s="103">
        <f>IF(O137="","",O137-P137)</f>
        <v/>
      </c>
      <c r="O137" s="104">
        <f>IF(ISNA(VLOOKUP($B137,$B$4:$Q$132,14,FALSE)),"",VLOOKUP($B137,$B$4:$Q$132,14,FALSE))</f>
        <v/>
      </c>
      <c r="P137" s="104">
        <f>IF(ISNA(VLOOKUP($B137,$B$4:$Q$132,15,FALSE)),"",VLOOKUP($B137,$B$4:$Q$132,15,FALSE))</f>
        <v/>
      </c>
      <c r="Q137" s="85">
        <f>IFERROR(N137/N135,"")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55QNED85</t>
        </is>
      </c>
      <c r="C138" s="83">
        <f>IF(VLOOKUP($B138,$B$4:$Q$132,2,FALSE)=0,"",VLOOKUP($B138,$B$4:$Q$132,2,FALSE))</f>
        <v/>
      </c>
      <c r="D138" s="103">
        <f>IF(E138="","",E138-F138)</f>
        <v/>
      </c>
      <c r="E138" s="104">
        <f>IF(ISNA(VLOOKUP($B138,$B$4:$Q$132,4,FALSE)),"",VLOOKUP($B138,$B$4:$Q$132,4,FALSE))</f>
        <v/>
      </c>
      <c r="F138" s="104">
        <f>IF(ISNA(VLOOKUP($B138,$B$4:$Q$132,5,FALSE)),"",VLOOKUP($B138,$B$4:$Q$132,5,FALSE))</f>
        <v/>
      </c>
      <c r="G138" s="85">
        <f>IFERROR(D138/D135,"")</f>
        <v/>
      </c>
      <c r="H138" s="83">
        <f>IF(VLOOKUP($B138,$B$4:$Q$132,7,FALSE)=0,"",VLOOKUP($B138,$B$4:$Q$132,7,FALSE))</f>
        <v/>
      </c>
      <c r="I138" s="103">
        <f>IF(J138="","",J138-K138)</f>
        <v/>
      </c>
      <c r="J138" s="104">
        <f>IF(ISNA(VLOOKUP($B138,$B$4:$Q$132,9,FALSE)),"",VLOOKUP($B138,$B$4:$Q$132,9,FALSE))</f>
        <v/>
      </c>
      <c r="K138" s="104">
        <f>IF(ISNA(VLOOKUP($B138,$B$4:$Q$132,10,FALSE)),"",VLOOKUP($B138,$B$4:$Q$132,10,FALSE))</f>
        <v/>
      </c>
      <c r="L138" s="85">
        <f>IFERROR(I138/I135,"")</f>
        <v/>
      </c>
      <c r="M138" s="83">
        <f>IF(VLOOKUP($B138,$B$4:$Q$132,12,FALSE)=0,"",VLOOKUP($B138,$B$4:$Q$132,12,FALSE))</f>
        <v/>
      </c>
      <c r="N138" s="103">
        <f>IF(O138="","",O138-P138)</f>
        <v/>
      </c>
      <c r="O138" s="104">
        <f>IF(ISNA(VLOOKUP($B138,$B$4:$Q$132,14,FALSE)),"",VLOOKUP($B138,$B$4:$Q$132,14,FALSE))</f>
        <v/>
      </c>
      <c r="P138" s="104">
        <f>IF(ISNA(VLOOKUP($B138,$B$4:$Q$132,15,FALSE)),"",VLOOKUP($B138,$B$4:$Q$132,15,FALSE))</f>
        <v/>
      </c>
      <c r="Q138" s="85">
        <f>IFERROR(N138/N135,"")</f>
        <v/>
      </c>
    </row>
    <row r="139" hidden="1" ht="20" customHeight="1" s="55">
      <c r="A139" s="123" t="inlineStr">
        <is>
          <t>QNED</t>
        </is>
      </c>
      <c r="B139" s="123" t="inlineStr">
        <is>
          <t>55QNED80</t>
        </is>
      </c>
      <c r="C139" s="83">
        <f>IF(VLOOKUP($B139,$B$4:$Q$132,2,FALSE)=0,"",VLOOKUP($B139,$B$4:$Q$132,2,FALSE))</f>
        <v/>
      </c>
      <c r="D139" s="103">
        <f>IF(E139="","",E139-F139)</f>
        <v/>
      </c>
      <c r="E139" s="104">
        <f>IF(ISNA(VLOOKUP($B139,$B$4:$Q$132,4,FALSE)),"",VLOOKUP($B139,$B$4:$Q$132,4,FALSE))</f>
        <v/>
      </c>
      <c r="F139" s="104">
        <f>IF(ISNA(VLOOKUP($B139,$B$4:$Q$132,5,FALSE)),"",VLOOKUP($B139,$B$4:$Q$132,5,FALSE))</f>
        <v/>
      </c>
      <c r="G139" s="85">
        <f>IFERROR(D139/D135,"")</f>
        <v/>
      </c>
      <c r="H139" s="83">
        <f>IF(VLOOKUP($B139,$B$4:$Q$132,7,FALSE)=0,"",VLOOKUP($B139,$B$4:$Q$132,7,FALSE))</f>
        <v/>
      </c>
      <c r="I139" s="103">
        <f>IF(J139="","",J139-K139)</f>
        <v/>
      </c>
      <c r="J139" s="104">
        <f>IF(ISNA(VLOOKUP($B139,$B$4:$Q$132,9,FALSE)),"",VLOOKUP($B139,$B$4:$Q$132,9,FALSE))</f>
        <v/>
      </c>
      <c r="K139" s="104">
        <f>IF(ISNA(VLOOKUP($B139,$B$4:$Q$132,10,FALSE)),"",VLOOKUP($B139,$B$4:$Q$132,10,FALSE))</f>
        <v/>
      </c>
      <c r="L139" s="85">
        <f>IFERROR(I139/I135,"")</f>
        <v/>
      </c>
      <c r="M139" s="83">
        <f>IF(VLOOKUP($B139,$B$4:$Q$132,12,FALSE)=0,"",VLOOKUP($B139,$B$4:$Q$132,12,FALSE))</f>
        <v/>
      </c>
      <c r="N139" s="103">
        <f>IF(O139="","",O139-P139)</f>
        <v/>
      </c>
      <c r="O139" s="104">
        <f>IF(ISNA(VLOOKUP($B139,$B$4:$Q$132,14,FALSE)),"",VLOOKUP($B139,$B$4:$Q$132,14,FALSE))</f>
        <v/>
      </c>
      <c r="P139" s="104">
        <f>IF(ISNA(VLOOKUP($B139,$B$4:$Q$132,15,FALSE)),"",VLOOKUP($B139,$B$4:$Q$132,15,FALSE))</f>
        <v/>
      </c>
      <c r="Q139" s="85">
        <f>IFERROR(N139/N135,"")</f>
        <v/>
      </c>
    </row>
    <row r="140" hidden="1" s="55">
      <c r="A140" s="123" t="inlineStr">
        <is>
          <t>UHD 4K</t>
        </is>
      </c>
      <c r="B140" s="123" t="inlineStr">
        <is>
          <t>55NU85</t>
        </is>
      </c>
      <c r="C140" s="83">
        <f>IF(VLOOKUP($B140,$B$4:$Q$132,2,FALSE)=0,"",VLOOKUP($B140,$B$4:$Q$132,2,FALSE))</f>
        <v/>
      </c>
      <c r="D140" s="103">
        <f>IF(E140="","",E140-F140)</f>
        <v/>
      </c>
      <c r="E140" s="104">
        <f>IF(ISNA(VLOOKUP($B140,$B$4:$Q$132,4,FALSE)),"",VLOOKUP($B140,$B$4:$Q$132,4,FALSE))</f>
        <v/>
      </c>
      <c r="F140" s="104">
        <f>IF(ISNA(VLOOKUP($B140,$B$4:$Q$132,5,FALSE)),"",VLOOKUP($B140,$B$4:$Q$132,5,FALSE))</f>
        <v/>
      </c>
      <c r="G140" s="85">
        <f>IFERROR(D140/D135,"")</f>
        <v/>
      </c>
      <c r="H140" s="83">
        <f>IF(VLOOKUP($B140,$B$4:$Q$132,7,FALSE)=0,"",VLOOKUP($B140,$B$4:$Q$132,7,FALSE))</f>
        <v/>
      </c>
      <c r="I140" s="103">
        <f>IF(J140="","",J140-K140)</f>
        <v/>
      </c>
      <c r="J140" s="104">
        <f>IF(ISNA(VLOOKUP($B140,$B$4:$Q$132,9,FALSE)),"",VLOOKUP($B140,$B$4:$Q$132,9,FALSE))</f>
        <v/>
      </c>
      <c r="K140" s="104">
        <f>IF(ISNA(VLOOKUP($B140,$B$4:$Q$132,10,FALSE)),"",VLOOKUP($B140,$B$4:$Q$132,10,FALSE))</f>
        <v/>
      </c>
      <c r="L140" s="85">
        <f>IFERROR(I140/I135,"")</f>
        <v/>
      </c>
      <c r="M140" s="83">
        <f>IF(VLOOKUP($B140,$B$4:$Q$132,12,FALSE)=0,"",VLOOKUP($B140,$B$4:$Q$132,12,FALSE))</f>
        <v/>
      </c>
      <c r="N140" s="103">
        <f>IF(O140="","",O140-P140)</f>
        <v/>
      </c>
      <c r="O140" s="104">
        <f>IF(ISNA(VLOOKUP($B140,$B$4:$Q$132,14,FALSE)),"",VLOOKUP($B140,$B$4:$Q$132,14,FALSE))</f>
        <v/>
      </c>
      <c r="P140" s="104">
        <f>IF(ISNA(VLOOKUP($B140,$B$4:$Q$132,15,FALSE)),"",VLOOKUP($B140,$B$4:$Q$132,15,FALSE))</f>
        <v/>
      </c>
      <c r="Q140" s="85">
        <f>IFERROR(N140/N135,"")</f>
        <v/>
      </c>
    </row>
    <row r="141" hidden="1" ht="20" customHeight="1" s="55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 hidden="1" ht="20" customHeight="1" s="55">
      <c r="A142" s="123" t="inlineStr">
        <is>
          <t>OLED</t>
        </is>
      </c>
      <c r="B142" s="123" t="inlineStr">
        <is>
          <t>65G6</t>
        </is>
      </c>
      <c r="C142" s="83">
        <f>IF(VLOOKUP($B142,$B$4:$Q$132,2,FALSE)=0,"",VLOOKUP($B142,$B$4:$Q$132,2,FALSE))</f>
        <v/>
      </c>
      <c r="D142" s="103">
        <f>IF(E142="","",E142-F142)</f>
        <v/>
      </c>
      <c r="E142" s="104">
        <f>IF(ISNA(VLOOKUP($B142,$B$4:$Q$132,4,FALSE)),"",VLOOKUP($B142,$B$4:$Q$132,4,FALSE))</f>
        <v/>
      </c>
      <c r="F142" s="104">
        <f>IF(ISNA(VLOOKUP($B142,$B$4:$Q$132,5,FALSE)),"",VLOOKUP($B142,$B$4:$Q$132,5,FALSE))</f>
        <v/>
      </c>
      <c r="G142" s="85">
        <f>IFERROR(D142/D142,"")</f>
        <v/>
      </c>
      <c r="H142" s="83">
        <f>IF(VLOOKUP($B142,$B$4:$Q$132,7,FALSE)=0,"",VLOOKUP($B142,$B$4:$Q$132,7,FALSE))</f>
        <v/>
      </c>
      <c r="I142" s="103">
        <f>IF(J142="","",J142-K142)</f>
        <v/>
      </c>
      <c r="J142" s="104">
        <f>IF(ISNA(VLOOKUP($B142,$B$4:$Q$132,9,FALSE)),"",VLOOKUP($B142,$B$4:$Q$132,9,FALSE))</f>
        <v/>
      </c>
      <c r="K142" s="104">
        <f>IF(ISNA(VLOOKUP($B142,$B$4:$Q$132,10,FALSE)),"",VLOOKUP($B142,$B$4:$Q$132,10,FALSE))</f>
        <v/>
      </c>
      <c r="L142" s="85">
        <f>IFERROR(I142/I142,"")</f>
        <v/>
      </c>
      <c r="M142" s="83">
        <f>IF(VLOOKUP($B142,$B$4:$Q$132,12,FALSE)=0,"",VLOOKUP($B142,$B$4:$Q$132,12,FALSE))</f>
        <v/>
      </c>
      <c r="N142" s="103">
        <f>IF(O142="","",O142-P142)</f>
        <v/>
      </c>
      <c r="O142" s="104">
        <f>IF(ISNA(VLOOKUP($B142,$B$4:$Q$132,14,FALSE)),"",VLOOKUP($B142,$B$4:$Q$132,14,FALSE))</f>
        <v/>
      </c>
      <c r="P142" s="104">
        <f>IF(ISNA(VLOOKUP($B142,$B$4:$Q$132,15,FALSE)),"",VLOOKUP($B142,$B$4:$Q$132,15,FALSE))</f>
        <v/>
      </c>
      <c r="Q142" s="85">
        <f>IFERROR(N142/N142,"")</f>
        <v/>
      </c>
    </row>
    <row r="143" hidden="1" ht="20" customHeight="1" s="55">
      <c r="A143" s="123" t="inlineStr">
        <is>
          <t>OLED</t>
        </is>
      </c>
      <c r="B143" s="123" t="inlineStr">
        <is>
          <t>65C6</t>
        </is>
      </c>
      <c r="C143" s="83">
        <f>IF(VLOOKUP($B143,$B$4:$Q$132,2,FALSE)=0,"",VLOOKUP($B143,$B$4:$Q$132,2,FALSE))</f>
        <v/>
      </c>
      <c r="D143" s="103">
        <f>IF(E143="","",E143-F143)</f>
        <v/>
      </c>
      <c r="E143" s="104">
        <f>IF(ISNA(VLOOKUP($B143,$B$4:$Q$132,4,FALSE)),"",VLOOKUP($B143,$B$4:$Q$132,4,FALSE))</f>
        <v/>
      </c>
      <c r="F143" s="104">
        <f>IF(ISNA(VLOOKUP($B143,$B$4:$Q$132,5,FALSE)),"",VLOOKUP($B143,$B$4:$Q$132,5,FALSE))</f>
        <v/>
      </c>
      <c r="G143" s="85">
        <f>IFERROR(D143/D142,"")</f>
        <v/>
      </c>
      <c r="H143" s="83">
        <f>IF(VLOOKUP($B143,$B$4:$Q$132,7,FALSE)=0,"",VLOOKUP($B143,$B$4:$Q$132,7,FALSE))</f>
        <v/>
      </c>
      <c r="I143" s="103">
        <f>IF(J143="","",J143-K143)</f>
        <v/>
      </c>
      <c r="J143" s="104">
        <f>IF(ISNA(VLOOKUP($B143,$B$4:$Q$132,9,FALSE)),"",VLOOKUP($B143,$B$4:$Q$132,9,FALSE))</f>
        <v/>
      </c>
      <c r="K143" s="104">
        <f>IF(ISNA(VLOOKUP($B143,$B$4:$Q$132,10,FALSE)),"",VLOOKUP($B143,$B$4:$Q$132,10,FALSE))</f>
        <v/>
      </c>
      <c r="L143" s="85">
        <f>IFERROR(I143/I142,"")</f>
        <v/>
      </c>
      <c r="M143" s="83">
        <f>IF(VLOOKUP($B143,$B$4:$Q$132,12,FALSE)=0,"",VLOOKUP($B143,$B$4:$Q$132,12,FALSE))</f>
        <v/>
      </c>
      <c r="N143" s="103">
        <f>IF(O143="","",O143-P143)</f>
        <v/>
      </c>
      <c r="O143" s="104">
        <f>IF(ISNA(VLOOKUP($B143,$B$4:$Q$132,14,FALSE)),"",VLOOKUP($B143,$B$4:$Q$132,14,FALSE))</f>
        <v/>
      </c>
      <c r="P143" s="104">
        <f>IF(ISNA(VLOOKUP($B143,$B$4:$Q$132,15,FALSE)),"",VLOOKUP($B143,$B$4:$Q$132,15,FALSE))</f>
        <v/>
      </c>
      <c r="Q143" s="85">
        <f>IFERROR(N143/N142,"")</f>
        <v/>
      </c>
    </row>
    <row r="144" hidden="1" ht="20" customHeight="1" s="55">
      <c r="A144" s="123" t="inlineStr">
        <is>
          <t>OLED</t>
        </is>
      </c>
      <c r="B144" s="123" t="inlineStr">
        <is>
          <t>65B6</t>
        </is>
      </c>
      <c r="C144" s="83">
        <f>IF(VLOOKUP($B144,$B$4:$Q$132,2,FALSE)=0,"",VLOOKUP($B144,$B$4:$Q$132,2,FALSE))</f>
        <v/>
      </c>
      <c r="D144" s="103">
        <f>IF(E144="","",E144-F144)</f>
        <v/>
      </c>
      <c r="E144" s="104">
        <f>IF(ISNA(VLOOKUP($B144,$B$4:$Q$132,4,FALSE)),"",VLOOKUP($B144,$B$4:$Q$132,4,FALSE))</f>
        <v/>
      </c>
      <c r="F144" s="104">
        <f>IF(ISNA(VLOOKUP($B144,$B$4:$Q$132,5,FALSE)),"",VLOOKUP($B144,$B$4:$Q$132,5,FALSE))</f>
        <v/>
      </c>
      <c r="G144" s="85">
        <f>IFERROR(D144/D142,"")</f>
        <v/>
      </c>
      <c r="H144" s="83">
        <f>IF(VLOOKUP($B144,$B$4:$Q$132,7,FALSE)=0,"",VLOOKUP($B144,$B$4:$Q$132,7,FALSE))</f>
        <v/>
      </c>
      <c r="I144" s="103">
        <f>IF(J144="","",J144-K144)</f>
        <v/>
      </c>
      <c r="J144" s="104">
        <f>IF(ISNA(VLOOKUP($B144,$B$4:$Q$132,9,FALSE)),"",VLOOKUP($B144,$B$4:$Q$132,9,FALSE))</f>
        <v/>
      </c>
      <c r="K144" s="104">
        <f>IF(ISNA(VLOOKUP($B144,$B$4:$Q$132,10,FALSE)),"",VLOOKUP($B144,$B$4:$Q$132,10,FALSE))</f>
        <v/>
      </c>
      <c r="L144" s="85">
        <f>IFERROR(I144/I142,"")</f>
        <v/>
      </c>
      <c r="M144" s="83">
        <f>IF(VLOOKUP($B144,$B$4:$Q$132,12,FALSE)=0,"",VLOOKUP($B144,$B$4:$Q$132,12,FALSE))</f>
        <v/>
      </c>
      <c r="N144" s="103">
        <f>IF(O144="","",O144-P144)</f>
        <v/>
      </c>
      <c r="O144" s="104">
        <f>IF(ISNA(VLOOKUP($B144,$B$4:$Q$132,14,FALSE)),"",VLOOKUP($B144,$B$4:$Q$132,14,FALSE))</f>
        <v/>
      </c>
      <c r="P144" s="104">
        <f>IF(ISNA(VLOOKUP($B144,$B$4:$Q$132,15,FALSE)),"",VLOOKUP($B144,$B$4:$Q$132,15,FALSE))</f>
        <v/>
      </c>
      <c r="Q144" s="85">
        <f>IFERROR(N144/N142,"")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65QNED85</t>
        </is>
      </c>
      <c r="C145" s="83">
        <f>IF(VLOOKUP($B145,$B$4:$Q$132,2,FALSE)=0,"",VLOOKUP($B145,$B$4:$Q$132,2,FALSE))</f>
        <v/>
      </c>
      <c r="D145" s="103">
        <f>IF(E145="","",E145-F145)</f>
        <v/>
      </c>
      <c r="E145" s="104">
        <f>IF(ISNA(VLOOKUP($B145,$B$4:$Q$132,4,FALSE)),"",VLOOKUP($B145,$B$4:$Q$132,4,FALSE))</f>
        <v/>
      </c>
      <c r="F145" s="104">
        <f>IF(ISNA(VLOOKUP($B145,$B$4:$Q$132,5,FALSE)),"",VLOOKUP($B145,$B$4:$Q$132,5,FALSE))</f>
        <v/>
      </c>
      <c r="G145" s="85">
        <f>IFERROR(D145/D142,"")</f>
        <v/>
      </c>
      <c r="H145" s="83">
        <f>IF(VLOOKUP($B145,$B$4:$Q$132,7,FALSE)=0,"",VLOOKUP($B145,$B$4:$Q$132,7,FALSE))</f>
        <v/>
      </c>
      <c r="I145" s="103">
        <f>IF(J145="","",J145-K145)</f>
        <v/>
      </c>
      <c r="J145" s="104">
        <f>IF(ISNA(VLOOKUP($B145,$B$4:$Q$132,9,FALSE)),"",VLOOKUP($B145,$B$4:$Q$132,9,FALSE))</f>
        <v/>
      </c>
      <c r="K145" s="104">
        <f>IF(ISNA(VLOOKUP($B145,$B$4:$Q$132,10,FALSE)),"",VLOOKUP($B145,$B$4:$Q$132,10,FALSE))</f>
        <v/>
      </c>
      <c r="L145" s="85">
        <f>IFERROR(I145/I142,"")</f>
        <v/>
      </c>
      <c r="M145" s="83">
        <f>IF(VLOOKUP($B145,$B$4:$Q$132,12,FALSE)=0,"",VLOOKUP($B145,$B$4:$Q$132,12,FALSE))</f>
        <v/>
      </c>
      <c r="N145" s="103">
        <f>IF(O145="","",O145-P145)</f>
        <v/>
      </c>
      <c r="O145" s="104">
        <f>IF(ISNA(VLOOKUP($B145,$B$4:$Q$132,14,FALSE)),"",VLOOKUP($B145,$B$4:$Q$132,14,FALSE))</f>
        <v/>
      </c>
      <c r="P145" s="104">
        <f>IF(ISNA(VLOOKUP($B145,$B$4:$Q$132,15,FALSE)),"",VLOOKUP($B145,$B$4:$Q$132,15,FALSE))</f>
        <v/>
      </c>
      <c r="Q145" s="85">
        <f>IFERROR(N145/N142,"")</f>
        <v/>
      </c>
    </row>
    <row r="146" hidden="1" ht="20" customHeight="1" s="55">
      <c r="A146" s="123" t="inlineStr">
        <is>
          <t>QNED</t>
        </is>
      </c>
      <c r="B146" s="123" t="inlineStr">
        <is>
          <t>65QNED80</t>
        </is>
      </c>
      <c r="C146" s="83">
        <f>IF(VLOOKUP($B146,$B$4:$Q$132,2,FALSE)=0,"",VLOOKUP($B146,$B$4:$Q$132,2,FALSE))</f>
        <v/>
      </c>
      <c r="D146" s="103">
        <f>IF(E146="","",E146-F146)</f>
        <v/>
      </c>
      <c r="E146" s="104">
        <f>IF(ISNA(VLOOKUP($B146,$B$4:$Q$132,4,FALSE)),"",VLOOKUP($B146,$B$4:$Q$132,4,FALSE))</f>
        <v/>
      </c>
      <c r="F146" s="104">
        <f>IF(ISNA(VLOOKUP($B146,$B$4:$Q$132,5,FALSE)),"",VLOOKUP($B146,$B$4:$Q$132,5,FALSE))</f>
        <v/>
      </c>
      <c r="G146" s="85">
        <f>IFERROR(D146/D142,"")</f>
        <v/>
      </c>
      <c r="H146" s="83">
        <f>IF(VLOOKUP($B146,$B$4:$Q$132,7,FALSE)=0,"",VLOOKUP($B146,$B$4:$Q$132,7,FALSE))</f>
        <v/>
      </c>
      <c r="I146" s="103">
        <f>IF(J146="","",J146-K146)</f>
        <v/>
      </c>
      <c r="J146" s="104">
        <f>IF(ISNA(VLOOKUP($B146,$B$4:$Q$132,9,FALSE)),"",VLOOKUP($B146,$B$4:$Q$132,9,FALSE))</f>
        <v/>
      </c>
      <c r="K146" s="104">
        <f>IF(ISNA(VLOOKUP($B146,$B$4:$Q$132,10,FALSE)),"",VLOOKUP($B146,$B$4:$Q$132,10,FALSE))</f>
        <v/>
      </c>
      <c r="L146" s="85">
        <f>IFERROR(I146/I142,"")</f>
        <v/>
      </c>
      <c r="M146" s="83">
        <f>IF(VLOOKUP($B146,$B$4:$Q$132,12,FALSE)=0,"",VLOOKUP($B146,$B$4:$Q$132,12,FALSE))</f>
        <v/>
      </c>
      <c r="N146" s="103">
        <f>IF(O146="","",O146-P146)</f>
        <v/>
      </c>
      <c r="O146" s="104">
        <f>IF(ISNA(VLOOKUP($B146,$B$4:$Q$132,14,FALSE)),"",VLOOKUP($B146,$B$4:$Q$132,14,FALSE))</f>
        <v/>
      </c>
      <c r="P146" s="104">
        <f>IF(ISNA(VLOOKUP($B146,$B$4:$Q$132,15,FALSE)),"",VLOOKUP($B146,$B$4:$Q$132,15,FALSE))</f>
        <v/>
      </c>
      <c r="Q146" s="85">
        <f>IFERROR(N146/N142,"")</f>
        <v/>
      </c>
    </row>
    <row r="147" hidden="1" s="55">
      <c r="A147" s="123" t="inlineStr">
        <is>
          <t>UHD 4K</t>
        </is>
      </c>
      <c r="B147" s="123" t="inlineStr">
        <is>
          <t>65NU85</t>
        </is>
      </c>
      <c r="C147" s="83">
        <f>IF(VLOOKUP($B147,$B$4:$Q$132,2,FALSE)=0,"",VLOOKUP($B147,$B$4:$Q$132,2,FALSE))</f>
        <v/>
      </c>
      <c r="D147" s="103">
        <f>IF(E147="","",E147-F147)</f>
        <v/>
      </c>
      <c r="E147" s="104">
        <f>IF(ISNA(VLOOKUP($B147,$B$4:$Q$132,4,FALSE)),"",VLOOKUP($B147,$B$4:$Q$132,4,FALSE))</f>
        <v/>
      </c>
      <c r="F147" s="104">
        <f>IF(ISNA(VLOOKUP($B147,$B$4:$Q$132,5,FALSE)),"",VLOOKUP($B147,$B$4:$Q$132,5,FALSE))</f>
        <v/>
      </c>
      <c r="G147" s="85">
        <f>IFERROR(D147/D142,"")</f>
        <v/>
      </c>
      <c r="H147" s="83">
        <f>IF(VLOOKUP($B147,$B$4:$Q$132,7,FALSE)=0,"",VLOOKUP($B147,$B$4:$Q$132,7,FALSE))</f>
        <v/>
      </c>
      <c r="I147" s="103">
        <f>IF(J147="","",J147-K147)</f>
        <v/>
      </c>
      <c r="J147" s="104">
        <f>IF(ISNA(VLOOKUP($B147,$B$4:$Q$132,9,FALSE)),"",VLOOKUP($B147,$B$4:$Q$132,9,FALSE))</f>
        <v/>
      </c>
      <c r="K147" s="104">
        <f>IF(ISNA(VLOOKUP($B147,$B$4:$Q$132,10,FALSE)),"",VLOOKUP($B147,$B$4:$Q$132,10,FALSE))</f>
        <v/>
      </c>
      <c r="L147" s="85">
        <f>IFERROR(I147/I142,"")</f>
        <v/>
      </c>
      <c r="M147" s="83">
        <f>IF(VLOOKUP($B147,$B$4:$Q$132,12,FALSE)=0,"",VLOOKUP($B147,$B$4:$Q$132,12,FALSE))</f>
        <v/>
      </c>
      <c r="N147" s="103">
        <f>IF(O147="","",O147-P147)</f>
        <v/>
      </c>
      <c r="O147" s="104">
        <f>IF(ISNA(VLOOKUP($B147,$B$4:$Q$132,14,FALSE)),"",VLOOKUP($B147,$B$4:$Q$132,14,FALSE))</f>
        <v/>
      </c>
      <c r="P147" s="104">
        <f>IF(ISNA(VLOOKUP($B147,$B$4:$Q$132,15,FALSE)),"",VLOOKUP($B147,$B$4:$Q$132,15,FALSE))</f>
        <v/>
      </c>
      <c r="Q147" s="85">
        <f>IFERROR(N147/N142,"")</f>
        <v/>
      </c>
    </row>
    <row r="148" hidden="1" ht="20" customHeight="1" s="55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 hidden="1" ht="20" customHeight="1" s="55">
      <c r="A149" s="123" t="inlineStr">
        <is>
          <t>OLED</t>
        </is>
      </c>
      <c r="B149" s="123" t="inlineStr">
        <is>
          <t>77G6</t>
        </is>
      </c>
      <c r="C149" s="83">
        <f>IF(VLOOKUP($B149,$B$4:$Q$132,2,FALSE)=0,"",VLOOKUP($B149,$B$4:$Q$132,2,FALSE))</f>
        <v/>
      </c>
      <c r="D149" s="103">
        <f>IF(E149="","",E149-F149)</f>
        <v/>
      </c>
      <c r="E149" s="104">
        <f>IF(ISNA(VLOOKUP($B149,$B$4:$Q$132,4,FALSE)),"",VLOOKUP($B149,$B$4:$Q$132,4,FALSE))</f>
        <v/>
      </c>
      <c r="F149" s="104">
        <f>IF(ISNA(VLOOKUP($B149,$B$4:$Q$132,5,FALSE)),"",VLOOKUP($B149,$B$4:$Q$132,5,FALSE))</f>
        <v/>
      </c>
      <c r="G149" s="85">
        <f>IFERROR(D149/D149,"")</f>
        <v/>
      </c>
      <c r="H149" s="83">
        <f>IF(VLOOKUP($B149,$B$4:$Q$132,7,FALSE)=0,"",VLOOKUP($B149,$B$4:$Q$132,7,FALSE))</f>
        <v/>
      </c>
      <c r="I149" s="103">
        <f>IF(J149="","",J149-K149)</f>
        <v/>
      </c>
      <c r="J149" s="104">
        <f>IF(ISNA(VLOOKUP($B149,$B$4:$Q$132,9,FALSE)),"",VLOOKUP($B149,$B$4:$Q$132,9,FALSE))</f>
        <v/>
      </c>
      <c r="K149" s="104">
        <f>IF(ISNA(VLOOKUP($B149,$B$4:$Q$132,10,FALSE)),"",VLOOKUP($B149,$B$4:$Q$132,10,FALSE))</f>
        <v/>
      </c>
      <c r="L149" s="85">
        <f>IFERROR(I149/I149,"")</f>
        <v/>
      </c>
      <c r="M149" s="83">
        <f>IF(VLOOKUP($B149,$B$4:$Q$132,12,FALSE)=0,"",VLOOKUP($B149,$B$4:$Q$132,12,FALSE))</f>
        <v/>
      </c>
      <c r="N149" s="103">
        <f>IF(O149="","",O149-P149)</f>
        <v/>
      </c>
      <c r="O149" s="104">
        <f>IF(ISNA(VLOOKUP($B149,$B$4:$Q$132,14,FALSE)),"",VLOOKUP($B149,$B$4:$Q$132,14,FALSE))</f>
        <v/>
      </c>
      <c r="P149" s="104">
        <f>IF(ISNA(VLOOKUP($B149,$B$4:$Q$132,15,FALSE)),"",VLOOKUP($B149,$B$4:$Q$132,15,FALSE))</f>
        <v/>
      </c>
      <c r="Q149" s="85">
        <f>IFERROR(N149/N149,"")</f>
        <v/>
      </c>
    </row>
    <row r="150" hidden="1" ht="20" customHeight="1" s="55">
      <c r="A150" s="123" t="inlineStr">
        <is>
          <t>OLED</t>
        </is>
      </c>
      <c r="B150" s="123" t="inlineStr">
        <is>
          <t>77C6</t>
        </is>
      </c>
      <c r="C150" s="83">
        <f>IF(VLOOKUP($B150,$B$4:$Q$132,2,FALSE)=0,"",VLOOKUP($B150,$B$4:$Q$132,2,FALSE))</f>
        <v/>
      </c>
      <c r="D150" s="103">
        <f>IF(E150="","",E150-F150)</f>
        <v/>
      </c>
      <c r="E150" s="104">
        <f>IF(ISNA(VLOOKUP($B150,$B$4:$Q$132,4,FALSE)),"",VLOOKUP($B150,$B$4:$Q$132,4,FALSE))</f>
        <v/>
      </c>
      <c r="F150" s="104">
        <f>IF(ISNA(VLOOKUP($B150,$B$4:$Q$132,5,FALSE)),"",VLOOKUP($B150,$B$4:$Q$132,5,FALSE))</f>
        <v/>
      </c>
      <c r="G150" s="85">
        <f>IFERROR(D150/D149,"")</f>
        <v/>
      </c>
      <c r="H150" s="83">
        <f>IF(VLOOKUP($B150,$B$4:$Q$132,7,FALSE)=0,"",VLOOKUP($B150,$B$4:$Q$132,7,FALSE))</f>
        <v/>
      </c>
      <c r="I150" s="103">
        <f>IF(J150="","",J150-K150)</f>
        <v/>
      </c>
      <c r="J150" s="104">
        <f>IF(ISNA(VLOOKUP($B150,$B$4:$Q$132,9,FALSE)),"",VLOOKUP($B150,$B$4:$Q$132,9,FALSE))</f>
        <v/>
      </c>
      <c r="K150" s="104">
        <f>IF(ISNA(VLOOKUP($B150,$B$4:$Q$132,10,FALSE)),"",VLOOKUP($B150,$B$4:$Q$132,10,FALSE))</f>
        <v/>
      </c>
      <c r="L150" s="85">
        <f>IFERROR(I150/I149,"")</f>
        <v/>
      </c>
      <c r="M150" s="83">
        <f>IF(VLOOKUP($B150,$B$4:$Q$132,12,FALSE)=0,"",VLOOKUP($B150,$B$4:$Q$132,12,FALSE))</f>
        <v/>
      </c>
      <c r="N150" s="103">
        <f>IF(O150="","",O150-P150)</f>
        <v/>
      </c>
      <c r="O150" s="104">
        <f>IF(ISNA(VLOOKUP($B150,$B$4:$Q$132,14,FALSE)),"",VLOOKUP($B150,$B$4:$Q$132,14,FALSE))</f>
        <v/>
      </c>
      <c r="P150" s="104">
        <f>IF(ISNA(VLOOKUP($B150,$B$4:$Q$132,15,FALSE)),"",VLOOKUP($B150,$B$4:$Q$132,15,FALSE))</f>
        <v/>
      </c>
      <c r="Q150" s="85">
        <f>IFERROR(N150/N149,"")</f>
        <v/>
      </c>
    </row>
    <row r="151" hidden="1" ht="20" customHeight="1" s="55">
      <c r="A151" s="123" t="inlineStr">
        <is>
          <t>OLED</t>
        </is>
      </c>
      <c r="B151" s="123" t="inlineStr">
        <is>
          <t>77B6</t>
        </is>
      </c>
      <c r="C151" s="83">
        <f>IF(VLOOKUP($B151,$B$4:$Q$132,2,FALSE)=0,"",VLOOKUP($B151,$B$4:$Q$132,2,FALSE))</f>
        <v/>
      </c>
      <c r="D151" s="103">
        <f>IF(E151="","",E151-F151)</f>
        <v/>
      </c>
      <c r="E151" s="104">
        <f>IF(ISNA(VLOOKUP($B151,$B$4:$Q$132,4,FALSE)),"",VLOOKUP($B151,$B$4:$Q$132,4,FALSE))</f>
        <v/>
      </c>
      <c r="F151" s="104">
        <f>IF(ISNA(VLOOKUP($B151,$B$4:$Q$132,5,FALSE)),"",VLOOKUP($B151,$B$4:$Q$132,5,FALSE))</f>
        <v/>
      </c>
      <c r="G151" s="85">
        <f>IFERROR(D151/D149,"")</f>
        <v/>
      </c>
      <c r="H151" s="83">
        <f>IF(VLOOKUP($B151,$B$4:$Q$132,7,FALSE)=0,"",VLOOKUP($B151,$B$4:$Q$132,7,FALSE))</f>
        <v/>
      </c>
      <c r="I151" s="103">
        <f>IF(J151="","",J151-K151)</f>
        <v/>
      </c>
      <c r="J151" s="104">
        <f>IF(ISNA(VLOOKUP($B151,$B$4:$Q$132,9,FALSE)),"",VLOOKUP($B151,$B$4:$Q$132,9,FALSE))</f>
        <v/>
      </c>
      <c r="K151" s="104">
        <f>IF(ISNA(VLOOKUP($B151,$B$4:$Q$132,10,FALSE)),"",VLOOKUP($B151,$B$4:$Q$132,10,FALSE))</f>
        <v/>
      </c>
      <c r="L151" s="85">
        <f>IFERROR(I151/I149,"")</f>
        <v/>
      </c>
      <c r="M151" s="83">
        <f>IF(VLOOKUP($B151,$B$4:$Q$132,12,FALSE)=0,"",VLOOKUP($B151,$B$4:$Q$132,12,FALSE))</f>
        <v/>
      </c>
      <c r="N151" s="103">
        <f>IF(O151="","",O151-P151)</f>
        <v/>
      </c>
      <c r="O151" s="104">
        <f>IF(ISNA(VLOOKUP($B151,$B$4:$Q$132,14,FALSE)),"",VLOOKUP($B151,$B$4:$Q$132,14,FALSE))</f>
        <v/>
      </c>
      <c r="P151" s="104">
        <f>IF(ISNA(VLOOKUP($B151,$B$4:$Q$132,15,FALSE)),"",VLOOKUP($B151,$B$4:$Q$132,15,FALSE))</f>
        <v/>
      </c>
      <c r="Q151" s="85">
        <f>IFERROR(N151/N149,"")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75QNED85</t>
        </is>
      </c>
      <c r="C152" s="83">
        <f>IF(VLOOKUP($B152,$B$4:$Q$132,2,FALSE)=0,"",VLOOKUP($B152,$B$4:$Q$132,2,FALSE))</f>
        <v/>
      </c>
      <c r="D152" s="103">
        <f>IF(E152="","",E152-F152)</f>
        <v/>
      </c>
      <c r="E152" s="104">
        <f>IF(ISNA(VLOOKUP($B152,$B$4:$Q$132,4,FALSE)),"",VLOOKUP($B152,$B$4:$Q$132,4,FALSE))</f>
        <v/>
      </c>
      <c r="F152" s="104">
        <f>IF(ISNA(VLOOKUP($B152,$B$4:$Q$132,5,FALSE)),"",VLOOKUP($B152,$B$4:$Q$132,5,FALSE))</f>
        <v/>
      </c>
      <c r="G152" s="85">
        <f>IFERROR(D152/D149,"")</f>
        <v/>
      </c>
      <c r="H152" s="83">
        <f>IF(VLOOKUP($B152,$B$4:$Q$132,7,FALSE)=0,"",VLOOKUP($B152,$B$4:$Q$132,7,FALSE))</f>
        <v/>
      </c>
      <c r="I152" s="103">
        <f>IF(J152="","",J152-K152)</f>
        <v/>
      </c>
      <c r="J152" s="104">
        <f>IF(ISNA(VLOOKUP($B152,$B$4:$Q$132,9,FALSE)),"",VLOOKUP($B152,$B$4:$Q$132,9,FALSE))</f>
        <v/>
      </c>
      <c r="K152" s="104">
        <f>IF(ISNA(VLOOKUP($B152,$B$4:$Q$132,10,FALSE)),"",VLOOKUP($B152,$B$4:$Q$132,10,FALSE))</f>
        <v/>
      </c>
      <c r="L152" s="85">
        <f>IFERROR(I152/I149,"")</f>
        <v/>
      </c>
      <c r="M152" s="83">
        <f>IF(VLOOKUP($B152,$B$4:$Q$132,12,FALSE)=0,"",VLOOKUP($B152,$B$4:$Q$132,12,FALSE))</f>
        <v/>
      </c>
      <c r="N152" s="103">
        <f>IF(O152="","",O152-P152)</f>
        <v/>
      </c>
      <c r="O152" s="104">
        <f>IF(ISNA(VLOOKUP($B152,$B$4:$Q$132,14,FALSE)),"",VLOOKUP($B152,$B$4:$Q$132,14,FALSE))</f>
        <v/>
      </c>
      <c r="P152" s="104">
        <f>IF(ISNA(VLOOKUP($B152,$B$4:$Q$132,15,FALSE)),"",VLOOKUP($B152,$B$4:$Q$132,15,FALSE))</f>
        <v/>
      </c>
      <c r="Q152" s="85">
        <f>IFERROR(N152/N149,"")</f>
        <v/>
      </c>
    </row>
    <row r="153" hidden="1" ht="20" customHeight="1" s="55">
      <c r="A153" s="123" t="inlineStr">
        <is>
          <t>QNED</t>
        </is>
      </c>
      <c r="B153" s="123" t="inlineStr">
        <is>
          <t>75QNED80</t>
        </is>
      </c>
      <c r="C153" s="83">
        <f>IF(VLOOKUP($B153,$B$4:$Q$132,2,FALSE)=0,"",VLOOKUP($B153,$B$4:$Q$132,2,FALSE))</f>
        <v/>
      </c>
      <c r="D153" s="103">
        <f>IF(E153="","",E153-F153)</f>
        <v/>
      </c>
      <c r="E153" s="104">
        <f>IF(ISNA(VLOOKUP($B153,$B$4:$Q$132,4,FALSE)),"",VLOOKUP($B153,$B$4:$Q$132,4,FALSE))</f>
        <v/>
      </c>
      <c r="F153" s="104">
        <f>IF(ISNA(VLOOKUP($B153,$B$4:$Q$132,5,FALSE)),"",VLOOKUP($B153,$B$4:$Q$132,5,FALSE))</f>
        <v/>
      </c>
      <c r="G153" s="85">
        <f>IFERROR(D153/D149,"")</f>
        <v/>
      </c>
      <c r="H153" s="83">
        <f>IF(VLOOKUP($B153,$B$4:$Q$132,7,FALSE)=0,"",VLOOKUP($B153,$B$4:$Q$132,7,FALSE))</f>
        <v/>
      </c>
      <c r="I153" s="103">
        <f>IF(J153="","",J153-K153)</f>
        <v/>
      </c>
      <c r="J153" s="104">
        <f>IF(ISNA(VLOOKUP($B153,$B$4:$Q$132,9,FALSE)),"",VLOOKUP($B153,$B$4:$Q$132,9,FALSE))</f>
        <v/>
      </c>
      <c r="K153" s="104">
        <f>IF(ISNA(VLOOKUP($B153,$B$4:$Q$132,10,FALSE)),"",VLOOKUP($B153,$B$4:$Q$132,10,FALSE))</f>
        <v/>
      </c>
      <c r="L153" s="85">
        <f>IFERROR(I153/I149,"")</f>
        <v/>
      </c>
      <c r="M153" s="83">
        <f>IF(VLOOKUP($B153,$B$4:$Q$132,12,FALSE)=0,"",VLOOKUP($B153,$B$4:$Q$132,12,FALSE))</f>
        <v/>
      </c>
      <c r="N153" s="103">
        <f>IF(O153="","",O153-P153)</f>
        <v/>
      </c>
      <c r="O153" s="104">
        <f>IF(ISNA(VLOOKUP($B153,$B$4:$Q$132,14,FALSE)),"",VLOOKUP($B153,$B$4:$Q$132,14,FALSE))</f>
        <v/>
      </c>
      <c r="P153" s="104">
        <f>IF(ISNA(VLOOKUP($B153,$B$4:$Q$132,15,FALSE)),"",VLOOKUP($B153,$B$4:$Q$132,15,FALSE))</f>
        <v/>
      </c>
      <c r="Q153" s="85">
        <f>IFERROR(N153/N149,"")</f>
        <v/>
      </c>
    </row>
    <row r="154" hidden="1" s="55">
      <c r="A154" s="123" t="inlineStr">
        <is>
          <t>UHD 4K</t>
        </is>
      </c>
      <c r="B154" s="123" t="inlineStr">
        <is>
          <t>75NU85</t>
        </is>
      </c>
      <c r="C154" s="83">
        <f>IF(VLOOKUP($B154,$B$4:$Q$132,2,FALSE)=0,"",VLOOKUP($B154,$B$4:$Q$132,2,FALSE))</f>
        <v/>
      </c>
      <c r="D154" s="103">
        <f>IF(E154="","",E154-F154)</f>
        <v/>
      </c>
      <c r="E154" s="104">
        <f>IF(ISNA(VLOOKUP($B154,$B$4:$Q$132,4,FALSE)),"",VLOOKUP($B154,$B$4:$Q$132,4,FALSE))</f>
        <v/>
      </c>
      <c r="F154" s="104">
        <f>IF(ISNA(VLOOKUP($B154,$B$4:$Q$132,5,FALSE)),"",VLOOKUP($B154,$B$4:$Q$132,5,FALSE))</f>
        <v/>
      </c>
      <c r="G154" s="85">
        <f>IFERROR(D154/D149,"")</f>
        <v/>
      </c>
      <c r="H154" s="83">
        <f>IF(VLOOKUP($B154,$B$4:$Q$132,7,FALSE)=0,"",VLOOKUP($B154,$B$4:$Q$132,7,FALSE))</f>
        <v/>
      </c>
      <c r="I154" s="103">
        <f>IF(J154="","",J154-K154)</f>
        <v/>
      </c>
      <c r="J154" s="104">
        <f>IF(ISNA(VLOOKUP($B154,$B$4:$Q$132,9,FALSE)),"",VLOOKUP($B154,$B$4:$Q$132,9,FALSE))</f>
        <v/>
      </c>
      <c r="K154" s="104">
        <f>IF(ISNA(VLOOKUP($B154,$B$4:$Q$132,10,FALSE)),"",VLOOKUP($B154,$B$4:$Q$132,10,FALSE))</f>
        <v/>
      </c>
      <c r="L154" s="85">
        <f>IFERROR(I154/I149,"")</f>
        <v/>
      </c>
      <c r="M154" s="83">
        <f>IF(VLOOKUP($B154,$B$4:$Q$132,12,FALSE)=0,"",VLOOKUP($B154,$B$4:$Q$132,12,FALSE))</f>
        <v/>
      </c>
      <c r="N154" s="103">
        <f>IF(O154="","",O154-P154)</f>
        <v/>
      </c>
      <c r="O154" s="104">
        <f>IF(ISNA(VLOOKUP($B154,$B$4:$Q$132,14,FALSE)),"",VLOOKUP($B154,$B$4:$Q$132,14,FALSE))</f>
        <v/>
      </c>
      <c r="P154" s="104">
        <f>IF(ISNA(VLOOKUP($B154,$B$4:$Q$132,15,FALSE)),"",VLOOKUP($B154,$B$4:$Q$132,15,FALSE))</f>
        <v/>
      </c>
      <c r="Q154" s="85">
        <f>IFERROR(N154/N149,"")</f>
        <v/>
      </c>
    </row>
    <row r="155" hidden="1" ht="20" customHeight="1" s="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 hidden="1" ht="20" customHeight="1" s="55">
      <c r="A156" s="124" t="inlineStr">
        <is>
          <t>OLED</t>
        </is>
      </c>
      <c r="B156" s="124" t="inlineStr">
        <is>
          <t>55S99H</t>
        </is>
      </c>
      <c r="C156" s="125">
        <f>IF(VLOOKUP($B156,$B$4:$Q$132,2,FALSE)=0,"",VLOOKUP($B156,$B$4:$Q$132,2,FALSE))</f>
        <v/>
      </c>
      <c r="D156" s="95">
        <f>IF(E156="","",E156-F156)</f>
        <v/>
      </c>
      <c r="E156" s="96">
        <f>IF(ISNA(VLOOKUP($B156,$B$4:$Q$132,4,FALSE)),"",VLOOKUP($B156,$B$4:$Q$132,4,FALSE))</f>
        <v/>
      </c>
      <c r="F156" s="96">
        <f>IF(ISNA(VLOOKUP($B156,$B$4:$Q$132,5,FALSE)),"",VLOOKUP($B156,$B$4:$Q$132,5,FALSE))</f>
        <v/>
      </c>
      <c r="G156" s="90" t="inlineStr"/>
      <c r="H156" s="125">
        <f>IF(VLOOKUP($B156,$B$4:$Q$132,7,FALSE)=0,"",VLOOKUP($B156,$B$4:$Q$132,7,FALSE))</f>
        <v/>
      </c>
      <c r="I156" s="95">
        <f>IF(J156="","",J156-K156)</f>
        <v/>
      </c>
      <c r="J156" s="96">
        <f>IF(ISNA(VLOOKUP($B156,$B$4:$Q$132,9,FALSE)),"",VLOOKUP($B156,$B$4:$Q$132,9,FALSE))</f>
        <v/>
      </c>
      <c r="K156" s="96">
        <f>IF(ISNA(VLOOKUP($B156,$B$4:$Q$132,10,FALSE)),"",VLOOKUP($B156,$B$4:$Q$132,10,FALSE))</f>
        <v/>
      </c>
      <c r="L156" s="90" t="inlineStr"/>
      <c r="M156" s="125">
        <f>IF(VLOOKUP($B156,$B$4:$Q$132,12,FALSE)=0,"",VLOOKUP($B156,$B$4:$Q$132,12,FALSE))</f>
        <v/>
      </c>
      <c r="N156" s="95">
        <f>IF(O156="","",O156-P156)</f>
        <v/>
      </c>
      <c r="O156" s="96">
        <f>IF(ISNA(VLOOKUP($B156,$B$4:$Q$132,14,FALSE)),"",VLOOKUP($B156,$B$4:$Q$132,14,FALSE))</f>
        <v/>
      </c>
      <c r="P156" s="96">
        <f>IF(ISNA(VLOOKUP($B156,$B$4:$Q$132,15,FALSE)),"",VLOOKUP($B156,$B$4:$Q$132,15,FALSE))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55S95H</t>
        </is>
      </c>
      <c r="C157" s="125">
        <f>IF(VLOOKUP($B157,$B$4:$Q$132,2,FALSE)=0,"",VLOOKUP($B157,$B$4:$Q$132,2,FALSE))</f>
        <v/>
      </c>
      <c r="D157" s="95">
        <f>IF(E157="","",E157-F157)</f>
        <v/>
      </c>
      <c r="E157" s="96">
        <f>IF(ISNA(VLOOKUP($B157,$B$4:$Q$132,4,FALSE)),"",VLOOKUP($B157,$B$4:$Q$132,4,FALSE))</f>
        <v/>
      </c>
      <c r="F157" s="96">
        <f>IF(ISNA(VLOOKUP($B157,$B$4:$Q$132,5,FALSE)),"",VLOOKUP($B157,$B$4:$Q$132,5,FALSE))</f>
        <v/>
      </c>
      <c r="G157" s="90" t="inlineStr"/>
      <c r="H157" s="125">
        <f>IF(VLOOKUP($B157,$B$4:$Q$132,7,FALSE)=0,"",VLOOKUP($B157,$B$4:$Q$132,7,FALSE))</f>
        <v/>
      </c>
      <c r="I157" s="95">
        <f>IF(J157="","",J157-K157)</f>
        <v/>
      </c>
      <c r="J157" s="96">
        <f>IF(ISNA(VLOOKUP($B157,$B$4:$Q$132,9,FALSE)),"",VLOOKUP($B157,$B$4:$Q$132,9,FALSE))</f>
        <v/>
      </c>
      <c r="K157" s="96">
        <f>IF(ISNA(VLOOKUP($B157,$B$4:$Q$132,10,FALSE)),"",VLOOKUP($B157,$B$4:$Q$132,10,FALSE))</f>
        <v/>
      </c>
      <c r="L157" s="90" t="inlineStr"/>
      <c r="M157" s="125">
        <f>IF(VLOOKUP($B157,$B$4:$Q$132,12,FALSE)=0,"",VLOOKUP($B157,$B$4:$Q$132,12,FALSE))</f>
        <v/>
      </c>
      <c r="N157" s="95">
        <f>IF(O157="","",O157-P157)</f>
        <v/>
      </c>
      <c r="O157" s="96">
        <f>IF(ISNA(VLOOKUP($B157,$B$4:$Q$132,14,FALSE)),"",VLOOKUP($B157,$B$4:$Q$132,14,FALSE))</f>
        <v/>
      </c>
      <c r="P157" s="96">
        <f>IF(ISNA(VLOOKUP($B157,$B$4:$Q$132,15,FALSE)),"",VLOOKUP($B157,$B$4:$Q$132,15,FALSE))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55S90H</t>
        </is>
      </c>
      <c r="C158" s="125">
        <f>IF(VLOOKUP($B158,$B$4:$Q$132,2,FALSE)=0,"",VLOOKUP($B158,$B$4:$Q$132,2,FALSE))</f>
        <v/>
      </c>
      <c r="D158" s="95">
        <f>IF(E158="","",E158-F158)</f>
        <v/>
      </c>
      <c r="E158" s="96">
        <f>IF(ISNA(VLOOKUP($B158,$B$4:$Q$132,4,FALSE)),"",VLOOKUP($B158,$B$4:$Q$132,4,FALSE))</f>
        <v/>
      </c>
      <c r="F158" s="96">
        <f>IF(ISNA(VLOOKUP($B158,$B$4:$Q$132,5,FALSE)),"",VLOOKUP($B158,$B$4:$Q$132,5,FALSE))</f>
        <v/>
      </c>
      <c r="G158" s="90" t="inlineStr"/>
      <c r="H158" s="125">
        <f>IF(VLOOKUP($B158,$B$4:$Q$132,7,FALSE)=0,"",VLOOKUP($B158,$B$4:$Q$132,7,FALSE))</f>
        <v/>
      </c>
      <c r="I158" s="95">
        <f>IF(J158="","",J158-K158)</f>
        <v/>
      </c>
      <c r="J158" s="96">
        <f>IF(ISNA(VLOOKUP($B158,$B$4:$Q$132,9,FALSE)),"",VLOOKUP($B158,$B$4:$Q$132,9,FALSE))</f>
        <v/>
      </c>
      <c r="K158" s="96">
        <f>IF(ISNA(VLOOKUP($B158,$B$4:$Q$132,10,FALSE)),"",VLOOKUP($B158,$B$4:$Q$132,10,FALSE))</f>
        <v/>
      </c>
      <c r="L158" s="90" t="inlineStr"/>
      <c r="M158" s="125">
        <f>IF(VLOOKUP($B158,$B$4:$Q$132,12,FALSE)=0,"",VLOOKUP($B158,$B$4:$Q$132,12,FALSE))</f>
        <v/>
      </c>
      <c r="N158" s="95">
        <f>IF(O158="","",O158-P158)</f>
        <v/>
      </c>
      <c r="O158" s="96">
        <f>IF(ISNA(VLOOKUP($B158,$B$4:$Q$132,14,FALSE)),"",VLOOKUP($B158,$B$4:$Q$132,14,FALSE))</f>
        <v/>
      </c>
      <c r="P158" s="96">
        <f>IF(ISNA(VLOOKUP($B158,$B$4:$Q$132,15,FALSE)),"",VLOOKUP($B158,$B$4:$Q$132,15,FALSE))</f>
        <v/>
      </c>
      <c r="Q158" s="90" t="inlineStr"/>
    </row>
    <row r="159" hidden="1" ht="20" customHeight="1" s="55">
      <c r="A159" s="124" t="inlineStr">
        <is>
          <t>OLED</t>
        </is>
      </c>
      <c r="B159" s="124" t="inlineStr">
        <is>
          <t>55S85H</t>
        </is>
      </c>
      <c r="C159" s="125">
        <f>IF(VLOOKUP($B159,$B$4:$Q$132,2,FALSE)=0,"",VLOOKUP($B159,$B$4:$Q$132,2,FALSE))</f>
        <v/>
      </c>
      <c r="D159" s="95">
        <f>IF(E159="","",E159-F159)</f>
        <v/>
      </c>
      <c r="E159" s="96">
        <f>IF(ISNA(VLOOKUP($B159,$B$4:$Q$132,4,FALSE)),"",VLOOKUP($B159,$B$4:$Q$132,4,FALSE))</f>
        <v/>
      </c>
      <c r="F159" s="96">
        <f>IF(ISNA(VLOOKUP($B159,$B$4:$Q$132,5,FALSE)),"",VLOOKUP($B159,$B$4:$Q$132,5,FALSE))</f>
        <v/>
      </c>
      <c r="G159" s="90" t="inlineStr"/>
      <c r="H159" s="125">
        <f>IF(VLOOKUP($B159,$B$4:$Q$132,7,FALSE)=0,"",VLOOKUP($B159,$B$4:$Q$132,7,FALSE))</f>
        <v/>
      </c>
      <c r="I159" s="95">
        <f>IF(J159="","",J159-K159)</f>
        <v/>
      </c>
      <c r="J159" s="96">
        <f>IF(ISNA(VLOOKUP($B159,$B$4:$Q$132,9,FALSE)),"",VLOOKUP($B159,$B$4:$Q$132,9,FALSE))</f>
        <v/>
      </c>
      <c r="K159" s="96">
        <f>IF(ISNA(VLOOKUP($B159,$B$4:$Q$132,10,FALSE)),"",VLOOKUP($B159,$B$4:$Q$132,10,FALSE))</f>
        <v/>
      </c>
      <c r="L159" s="90" t="inlineStr"/>
      <c r="M159" s="125">
        <f>IF(VLOOKUP($B159,$B$4:$Q$132,12,FALSE)=0,"",VLOOKUP($B159,$B$4:$Q$132,12,FALSE))</f>
        <v/>
      </c>
      <c r="N159" s="95">
        <f>IF(O159="","",O159-P159)</f>
        <v/>
      </c>
      <c r="O159" s="96">
        <f>IF(ISNA(VLOOKUP($B159,$B$4:$Q$132,14,FALSE)),"",VLOOKUP($B159,$B$4:$Q$132,14,FALSE))</f>
        <v/>
      </c>
      <c r="P159" s="96">
        <f>IF(ISNA(VLOOKUP($B159,$B$4:$Q$132,15,FALSE)),"",VLOOKUP($B159,$B$4:$Q$132,15,FALSE))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55QN70H</t>
        </is>
      </c>
      <c r="C160" s="125">
        <f>IF(VLOOKUP($B160,$B$4:$Q$132,2,FALSE)=0,"",VLOOKUP($B160,$B$4:$Q$132,2,FALSE))</f>
        <v/>
      </c>
      <c r="D160" s="95">
        <f>IF(E160="","",E160-F160)</f>
        <v/>
      </c>
      <c r="E160" s="96">
        <f>IF(ISNA(VLOOKUP($B160,$B$4:$Q$132,4,FALSE)),"",VLOOKUP($B160,$B$4:$Q$132,4,FALSE))</f>
        <v/>
      </c>
      <c r="F160" s="96">
        <f>IF(ISNA(VLOOKUP($B160,$B$4:$Q$132,5,FALSE)),"",VLOOKUP($B160,$B$4:$Q$132,5,FALSE))</f>
        <v/>
      </c>
      <c r="G160" s="90" t="inlineStr"/>
      <c r="H160" s="125">
        <f>IF(VLOOKUP($B160,$B$4:$Q$132,7,FALSE)=0,"",VLOOKUP($B160,$B$4:$Q$132,7,FALSE))</f>
        <v/>
      </c>
      <c r="I160" s="95">
        <f>IF(J160="","",J160-K160)</f>
        <v/>
      </c>
      <c r="J160" s="96">
        <f>IF(ISNA(VLOOKUP($B160,$B$4:$Q$132,9,FALSE)),"",VLOOKUP($B160,$B$4:$Q$132,9,FALSE))</f>
        <v/>
      </c>
      <c r="K160" s="96">
        <f>IF(ISNA(VLOOKUP($B160,$B$4:$Q$132,10,FALSE)),"",VLOOKUP($B160,$B$4:$Q$132,10,FALSE))</f>
        <v/>
      </c>
      <c r="L160" s="90" t="inlineStr"/>
      <c r="M160" s="125">
        <f>IF(VLOOKUP($B160,$B$4:$Q$132,12,FALSE)=0,"",VLOOKUP($B160,$B$4:$Q$132,12,FALSE))</f>
        <v/>
      </c>
      <c r="N160" s="95">
        <f>IF(O160="","",O160-P160)</f>
        <v/>
      </c>
      <c r="O160" s="96">
        <f>IF(ISNA(VLOOKUP($B160,$B$4:$Q$132,14,FALSE)),"",VLOOKUP($B160,$B$4:$Q$132,14,FALSE))</f>
        <v/>
      </c>
      <c r="P160" s="96">
        <f>IF(ISNA(VLOOKUP($B160,$B$4:$Q$132,15,FALSE)),"",VLOOKUP($B160,$B$4:$Q$132,15,FALSE))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55Q8H</t>
        </is>
      </c>
      <c r="C161" s="125">
        <f>IF(VLOOKUP("55R95H",$B$4:$Q$132,2,FALSE)=0,"",VLOOKUP("55R95H",$B$4:$Q$132,2,FALSE))</f>
        <v/>
      </c>
      <c r="D161" s="95">
        <f>IF(E161="","",E161-F161)</f>
        <v/>
      </c>
      <c r="E161" s="96">
        <f>IF(ISNA(VLOOKUP("55R95H",$B$4:$Q$132,4,FALSE)),"",VLOOKUP("55R95H",$B$4:$Q$132,4,FALSE))</f>
        <v/>
      </c>
      <c r="F161" s="96">
        <f>IF(ISNA(VLOOKUP("55R95H",$B$4:$Q$132,5,FALSE)),"",VLOOKUP("55R95H",$B$4:$Q$132,5,FALSE))</f>
        <v/>
      </c>
      <c r="G161" s="90" t="inlineStr"/>
      <c r="H161" s="125">
        <f>IF(VLOOKUP("55R95H",$B$4:$Q$132,7,FALSE)=0,"",VLOOKUP("55R95H",$B$4:$Q$132,7,FALSE))</f>
        <v/>
      </c>
      <c r="I161" s="95">
        <f>IF(J161="","",J161-K161)</f>
        <v/>
      </c>
      <c r="J161" s="96">
        <f>IF(ISNA(VLOOKUP("55R95H",$B$4:$Q$132,9,FALSE)),"",VLOOKUP("55R95H",$B$4:$Q$132,9,FALSE))</f>
        <v/>
      </c>
      <c r="K161" s="96">
        <f>IF(ISNA(VLOOKUP("55R95H",$B$4:$Q$132,10,FALSE)),"",VLOOKUP("55R95H",$B$4:$Q$132,10,FALSE))</f>
        <v/>
      </c>
      <c r="L161" s="90" t="inlineStr"/>
      <c r="M161" s="125">
        <f>IF(VLOOKUP("55R95H",$B$4:$Q$132,12,FALSE)=0,"",VLOOKUP("55R95H",$B$4:$Q$132,12,FALSE))</f>
        <v/>
      </c>
      <c r="N161" s="95">
        <f>IF(O161="","",O161-P161)</f>
        <v/>
      </c>
      <c r="O161" s="96">
        <f>IF(ISNA(VLOOKUP("55R95H",$B$4:$Q$132,14,FALSE)),"",VLOOKUP("55R95H",$B$4:$Q$132,14,FALSE))</f>
        <v/>
      </c>
      <c r="P161" s="96">
        <f>IF(ISNA(VLOOKUP("55R95H",$B$4:$Q$132,15,FALSE)),"",VLOOKUP("55R95H",$B$4:$Q$132,15,FALSE))</f>
        <v/>
      </c>
      <c r="Q161" s="90" t="inlineStr"/>
    </row>
    <row r="162" hidden="1" ht="20" customHeight="1" s="55">
      <c r="A162" s="124" t="inlineStr">
        <is>
          <t>QLED</t>
        </is>
      </c>
      <c r="B162" s="124" t="inlineStr">
        <is>
          <t>55Q7H</t>
        </is>
      </c>
      <c r="C162" s="125">
        <f>IF(VLOOKUP("55R85H",$B$4:$Q$132,2,FALSE)=0,"",VLOOKUP("55R85H",$B$4:$Q$132,2,FALSE))</f>
        <v/>
      </c>
      <c r="D162" s="95">
        <f>IF(E162="","",E162-F162)</f>
        <v/>
      </c>
      <c r="E162" s="96">
        <f>IF(ISNA(VLOOKUP("55R85H",$B$4:$Q$132,4,FALSE)),"",VLOOKUP("55R85H",$B$4:$Q$132,4,FALSE))</f>
        <v/>
      </c>
      <c r="F162" s="96">
        <f>IF(ISNA(VLOOKUP("55R85H",$B$4:$Q$132,5,FALSE)),"",VLOOKUP("55R85H",$B$4:$Q$132,5,FALSE))</f>
        <v/>
      </c>
      <c r="G162" s="90" t="inlineStr"/>
      <c r="H162" s="125">
        <f>IF(VLOOKUP("55R85H",$B$4:$Q$132,7,FALSE)=0,"",VLOOKUP("55R85H",$B$4:$Q$132,7,FALSE))</f>
        <v/>
      </c>
      <c r="I162" s="95">
        <f>IF(J162="","",J162-K162)</f>
        <v/>
      </c>
      <c r="J162" s="96">
        <f>IF(ISNA(VLOOKUP("55R85H",$B$4:$Q$132,9,FALSE)),"",VLOOKUP("55R85H",$B$4:$Q$132,9,FALSE))</f>
        <v/>
      </c>
      <c r="K162" s="96">
        <f>IF(ISNA(VLOOKUP("55R85H",$B$4:$Q$132,10,FALSE)),"",VLOOKUP("55R85H",$B$4:$Q$132,10,FALSE))</f>
        <v/>
      </c>
      <c r="L162" s="90" t="inlineStr"/>
      <c r="M162" s="125">
        <f>IF(VLOOKUP("55R85H",$B$4:$Q$132,12,FALSE)=0,"",VLOOKUP("55R85H",$B$4:$Q$132,12,FALSE))</f>
        <v/>
      </c>
      <c r="N162" s="95">
        <f>IF(O162="","",O162-P162)</f>
        <v/>
      </c>
      <c r="O162" s="96">
        <f>IF(ISNA(VLOOKUP("55R85H",$B$4:$Q$132,14,FALSE)),"",VLOOKUP("55R85H",$B$4:$Q$132,14,FALSE))</f>
        <v/>
      </c>
      <c r="P162" s="96">
        <f>IF(ISNA(VLOOKUP("55R85H",$B$4:$Q$132,15,FALSE)),"",VLOOKUP("55R85H",$B$4:$Q$132,15,FALSE))</f>
        <v/>
      </c>
      <c r="Q162" s="90" t="inlineStr"/>
    </row>
    <row r="163" hidden="1" s="55">
      <c r="A163" s="124" t="inlineStr">
        <is>
          <t>UHD 4K</t>
        </is>
      </c>
      <c r="B163" s="124" t="inlineStr">
        <is>
          <t>55U8000H</t>
        </is>
      </c>
      <c r="C163" s="125">
        <f>IF(VLOOKUP($B163,$B$4:$Q$132,2,FALSE)=0,"",VLOOKUP($B163,$B$4:$Q$132,2,FALSE))</f>
        <v/>
      </c>
      <c r="D163" s="95">
        <f>IF(E163="","",E163-F163)</f>
        <v/>
      </c>
      <c r="E163" s="96">
        <f>IF(ISNA(VLOOKUP($B163,$B$4:$Q$132,4,FALSE)),"",VLOOKUP($B163,$B$4:$Q$132,4,FALSE))</f>
        <v/>
      </c>
      <c r="F163" s="96">
        <f>IF(ISNA(VLOOKUP($B163,$B$4:$Q$132,5,FALSE)),"",VLOOKUP($B163,$B$4:$Q$132,5,FALSE))</f>
        <v/>
      </c>
      <c r="G163" s="90" t="inlineStr"/>
      <c r="H163" s="125">
        <f>IF(VLOOKUP($B163,$B$4:$Q$132,7,FALSE)=0,"",VLOOKUP($B163,$B$4:$Q$132,7,FALSE))</f>
        <v/>
      </c>
      <c r="I163" s="95">
        <f>IF(J163="","",J163-K163)</f>
        <v/>
      </c>
      <c r="J163" s="96">
        <f>IF(ISNA(VLOOKUP($B163,$B$4:$Q$132,9,FALSE)),"",VLOOKUP($B163,$B$4:$Q$132,9,FALSE))</f>
        <v/>
      </c>
      <c r="K163" s="96">
        <f>IF(ISNA(VLOOKUP($B163,$B$4:$Q$132,10,FALSE)),"",VLOOKUP($B163,$B$4:$Q$132,10,FALSE))</f>
        <v/>
      </c>
      <c r="L163" s="90" t="inlineStr"/>
      <c r="M163" s="125">
        <f>IF(VLOOKUP($B163,$B$4:$Q$132,12,FALSE)=0,"",VLOOKUP($B163,$B$4:$Q$132,12,FALSE))</f>
        <v/>
      </c>
      <c r="N163" s="95">
        <f>IF(O163="","",O163-P163)</f>
        <v/>
      </c>
      <c r="O163" s="96">
        <f>IF(ISNA(VLOOKUP($B163,$B$4:$Q$132,14,FALSE)),"",VLOOKUP($B163,$B$4:$Q$132,14,FALSE))</f>
        <v/>
      </c>
      <c r="P163" s="96">
        <f>IF(ISNA(VLOOKUP($B163,$B$4:$Q$132,15,FALSE)),"",VLOOKUP($B163,$B$4:$Q$132,15,FALSE))</f>
        <v/>
      </c>
      <c r="Q163" s="90" t="inlineStr"/>
    </row>
    <row r="164" hidden="1" ht="20" customHeight="1" s="55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 hidden="1" ht="20" customHeight="1" s="55">
      <c r="A165" s="124" t="inlineStr">
        <is>
          <t>OLED</t>
        </is>
      </c>
      <c r="B165" s="124" t="inlineStr">
        <is>
          <t>65S99H</t>
        </is>
      </c>
      <c r="C165" s="125">
        <f>IF(VLOOKUP($B165,$B$4:$Q$132,2,FALSE)=0,"",VLOOKUP($B165,$B$4:$Q$132,2,FALSE))</f>
        <v/>
      </c>
      <c r="D165" s="95">
        <f>IF(E165="","",E165-F165)</f>
        <v/>
      </c>
      <c r="E165" s="96">
        <f>IF(ISNA(VLOOKUP($B165,$B$4:$Q$132,4,FALSE)),"",VLOOKUP($B165,$B$4:$Q$132,4,FALSE))</f>
        <v/>
      </c>
      <c r="F165" s="96">
        <f>IF(ISNA(VLOOKUP($B165,$B$4:$Q$132,5,FALSE)),"",VLOOKUP($B165,$B$4:$Q$132,5,FALSE))</f>
        <v/>
      </c>
      <c r="G165" s="90" t="inlineStr"/>
      <c r="H165" s="125">
        <f>IF(VLOOKUP($B165,$B$4:$Q$132,7,FALSE)=0,"",VLOOKUP($B165,$B$4:$Q$132,7,FALSE))</f>
        <v/>
      </c>
      <c r="I165" s="95">
        <f>IF(J165="","",J165-K165)</f>
        <v/>
      </c>
      <c r="J165" s="96">
        <f>IF(ISNA(VLOOKUP($B165,$B$4:$Q$132,9,FALSE)),"",VLOOKUP($B165,$B$4:$Q$132,9,FALSE))</f>
        <v/>
      </c>
      <c r="K165" s="96">
        <f>IF(ISNA(VLOOKUP($B165,$B$4:$Q$132,10,FALSE)),"",VLOOKUP($B165,$B$4:$Q$132,10,FALSE))</f>
        <v/>
      </c>
      <c r="L165" s="90" t="inlineStr"/>
      <c r="M165" s="125">
        <f>IF(VLOOKUP($B165,$B$4:$Q$132,12,FALSE)=0,"",VLOOKUP($B165,$B$4:$Q$132,12,FALSE))</f>
        <v/>
      </c>
      <c r="N165" s="95">
        <f>IF(O165="","",O165-P165)</f>
        <v/>
      </c>
      <c r="O165" s="96">
        <f>IF(ISNA(VLOOKUP($B165,$B$4:$Q$132,14,FALSE)),"",VLOOKUP($B165,$B$4:$Q$132,14,FALSE))</f>
        <v/>
      </c>
      <c r="P165" s="96">
        <f>IF(ISNA(VLOOKUP($B165,$B$4:$Q$132,15,FALSE)),"",VLOOKUP($B165,$B$4:$Q$132,15,FALSE))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65S95H</t>
        </is>
      </c>
      <c r="C166" s="125">
        <f>IF(VLOOKUP($B166,$B$4:$Q$132,2,FALSE)=0,"",VLOOKUP($B166,$B$4:$Q$132,2,FALSE))</f>
        <v/>
      </c>
      <c r="D166" s="95">
        <f>IF(E166="","",E166-F166)</f>
        <v/>
      </c>
      <c r="E166" s="96">
        <f>IF(ISNA(VLOOKUP($B166,$B$4:$Q$132,4,FALSE)),"",VLOOKUP($B166,$B$4:$Q$132,4,FALSE))</f>
        <v/>
      </c>
      <c r="F166" s="96">
        <f>IF(ISNA(VLOOKUP($B166,$B$4:$Q$132,5,FALSE)),"",VLOOKUP($B166,$B$4:$Q$132,5,FALSE))</f>
        <v/>
      </c>
      <c r="G166" s="90" t="inlineStr"/>
      <c r="H166" s="125">
        <f>IF(VLOOKUP($B166,$B$4:$Q$132,7,FALSE)=0,"",VLOOKUP($B166,$B$4:$Q$132,7,FALSE))</f>
        <v/>
      </c>
      <c r="I166" s="95">
        <f>IF(J166="","",J166-K166)</f>
        <v/>
      </c>
      <c r="J166" s="96">
        <f>IF(ISNA(VLOOKUP($B166,$B$4:$Q$132,9,FALSE)),"",VLOOKUP($B166,$B$4:$Q$132,9,FALSE))</f>
        <v/>
      </c>
      <c r="K166" s="96">
        <f>IF(ISNA(VLOOKUP($B166,$B$4:$Q$132,10,FALSE)),"",VLOOKUP($B166,$B$4:$Q$132,10,FALSE))</f>
        <v/>
      </c>
      <c r="L166" s="90" t="inlineStr"/>
      <c r="M166" s="125">
        <f>IF(VLOOKUP($B166,$B$4:$Q$132,12,FALSE)=0,"",VLOOKUP($B166,$B$4:$Q$132,12,FALSE))</f>
        <v/>
      </c>
      <c r="N166" s="95">
        <f>IF(O166="","",O166-P166)</f>
        <v/>
      </c>
      <c r="O166" s="96">
        <f>IF(ISNA(VLOOKUP($B166,$B$4:$Q$132,14,FALSE)),"",VLOOKUP($B166,$B$4:$Q$132,14,FALSE))</f>
        <v/>
      </c>
      <c r="P166" s="96">
        <f>IF(ISNA(VLOOKUP($B166,$B$4:$Q$132,15,FALSE)),"",VLOOKUP($B166,$B$4:$Q$132,15,FALSE))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65S90H</t>
        </is>
      </c>
      <c r="C167" s="125">
        <f>IF(VLOOKUP($B167,$B$4:$Q$132,2,FALSE)=0,"",VLOOKUP($B167,$B$4:$Q$132,2,FALSE))</f>
        <v/>
      </c>
      <c r="D167" s="95">
        <f>IF(E167="","",E167-F167)</f>
        <v/>
      </c>
      <c r="E167" s="96">
        <f>IF(ISNA(VLOOKUP($B167,$B$4:$Q$132,4,FALSE)),"",VLOOKUP($B167,$B$4:$Q$132,4,FALSE))</f>
        <v/>
      </c>
      <c r="F167" s="96">
        <f>IF(ISNA(VLOOKUP($B167,$B$4:$Q$132,5,FALSE)),"",VLOOKUP($B167,$B$4:$Q$132,5,FALSE))</f>
        <v/>
      </c>
      <c r="G167" s="90" t="inlineStr"/>
      <c r="H167" s="125">
        <f>IF(VLOOKUP($B167,$B$4:$Q$132,7,FALSE)=0,"",VLOOKUP($B167,$B$4:$Q$132,7,FALSE))</f>
        <v/>
      </c>
      <c r="I167" s="95">
        <f>IF(J167="","",J167-K167)</f>
        <v/>
      </c>
      <c r="J167" s="96">
        <f>IF(ISNA(VLOOKUP($B167,$B$4:$Q$132,9,FALSE)),"",VLOOKUP($B167,$B$4:$Q$132,9,FALSE))</f>
        <v/>
      </c>
      <c r="K167" s="96">
        <f>IF(ISNA(VLOOKUP($B167,$B$4:$Q$132,10,FALSE)),"",VLOOKUP($B167,$B$4:$Q$132,10,FALSE))</f>
        <v/>
      </c>
      <c r="L167" s="90" t="inlineStr"/>
      <c r="M167" s="125">
        <f>IF(VLOOKUP($B167,$B$4:$Q$132,12,FALSE)=0,"",VLOOKUP($B167,$B$4:$Q$132,12,FALSE))</f>
        <v/>
      </c>
      <c r="N167" s="95">
        <f>IF(O167="","",O167-P167)</f>
        <v/>
      </c>
      <c r="O167" s="96">
        <f>IF(ISNA(VLOOKUP($B167,$B$4:$Q$132,14,FALSE)),"",VLOOKUP($B167,$B$4:$Q$132,14,FALSE))</f>
        <v/>
      </c>
      <c r="P167" s="96">
        <f>IF(ISNA(VLOOKUP($B167,$B$4:$Q$132,15,FALSE)),"",VLOOKUP($B167,$B$4:$Q$132,15,FALSE))</f>
        <v/>
      </c>
      <c r="Q167" s="90" t="inlineStr"/>
    </row>
    <row r="168" hidden="1" ht="20" customHeight="1" s="55">
      <c r="A168" s="124" t="inlineStr">
        <is>
          <t>OLED</t>
        </is>
      </c>
      <c r="B168" s="124" t="inlineStr">
        <is>
          <t>65S85H</t>
        </is>
      </c>
      <c r="C168" s="125">
        <f>IF(VLOOKUP($B168,$B$4:$Q$132,2,FALSE)=0,"",VLOOKUP($B168,$B$4:$Q$132,2,FALSE))</f>
        <v/>
      </c>
      <c r="D168" s="95">
        <f>IF(E168="","",E168-F168)</f>
        <v/>
      </c>
      <c r="E168" s="96">
        <f>IF(ISNA(VLOOKUP($B168,$B$4:$Q$132,4,FALSE)),"",VLOOKUP($B168,$B$4:$Q$132,4,FALSE))</f>
        <v/>
      </c>
      <c r="F168" s="96">
        <f>IF(ISNA(VLOOKUP($B168,$B$4:$Q$132,5,FALSE)),"",VLOOKUP($B168,$B$4:$Q$132,5,FALSE))</f>
        <v/>
      </c>
      <c r="G168" s="90" t="inlineStr"/>
      <c r="H168" s="125">
        <f>IF(VLOOKUP($B168,$B$4:$Q$132,7,FALSE)=0,"",VLOOKUP($B168,$B$4:$Q$132,7,FALSE))</f>
        <v/>
      </c>
      <c r="I168" s="95">
        <f>IF(J168="","",J168-K168)</f>
        <v/>
      </c>
      <c r="J168" s="96">
        <f>IF(ISNA(VLOOKUP($B168,$B$4:$Q$132,9,FALSE)),"",VLOOKUP($B168,$B$4:$Q$132,9,FALSE))</f>
        <v/>
      </c>
      <c r="K168" s="96">
        <f>IF(ISNA(VLOOKUP($B168,$B$4:$Q$132,10,FALSE)),"",VLOOKUP($B168,$B$4:$Q$132,10,FALSE))</f>
        <v/>
      </c>
      <c r="L168" s="90" t="inlineStr"/>
      <c r="M168" s="125">
        <f>IF(VLOOKUP($B168,$B$4:$Q$132,12,FALSE)=0,"",VLOOKUP($B168,$B$4:$Q$132,12,FALSE))</f>
        <v/>
      </c>
      <c r="N168" s="95">
        <f>IF(O168="","",O168-P168)</f>
        <v/>
      </c>
      <c r="O168" s="96">
        <f>IF(ISNA(VLOOKUP($B168,$B$4:$Q$132,14,FALSE)),"",VLOOKUP($B168,$B$4:$Q$132,14,FALSE))</f>
        <v/>
      </c>
      <c r="P168" s="96">
        <f>IF(ISNA(VLOOKUP($B168,$B$4:$Q$132,15,FALSE)),"",VLOOKUP($B168,$B$4:$Q$132,15,FALSE))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65QN70H</t>
        </is>
      </c>
      <c r="C169" s="125">
        <f>IF(VLOOKUP($B169,$B$4:$Q$132,2,FALSE)=0,"",VLOOKUP($B169,$B$4:$Q$132,2,FALSE))</f>
        <v/>
      </c>
      <c r="D169" s="95">
        <f>IF(E169="","",E169-F169)</f>
        <v/>
      </c>
      <c r="E169" s="96">
        <f>IF(ISNA(VLOOKUP($B169,$B$4:$Q$132,4,FALSE)),"",VLOOKUP($B169,$B$4:$Q$132,4,FALSE))</f>
        <v/>
      </c>
      <c r="F169" s="96">
        <f>IF(ISNA(VLOOKUP($B169,$B$4:$Q$132,5,FALSE)),"",VLOOKUP($B169,$B$4:$Q$132,5,FALSE))</f>
        <v/>
      </c>
      <c r="G169" s="90" t="inlineStr"/>
      <c r="H169" s="125">
        <f>IF(VLOOKUP($B169,$B$4:$Q$132,7,FALSE)=0,"",VLOOKUP($B169,$B$4:$Q$132,7,FALSE))</f>
        <v/>
      </c>
      <c r="I169" s="95">
        <f>IF(J169="","",J169-K169)</f>
        <v/>
      </c>
      <c r="J169" s="96">
        <f>IF(ISNA(VLOOKUP($B169,$B$4:$Q$132,9,FALSE)),"",VLOOKUP($B169,$B$4:$Q$132,9,FALSE))</f>
        <v/>
      </c>
      <c r="K169" s="96">
        <f>IF(ISNA(VLOOKUP($B169,$B$4:$Q$132,10,FALSE)),"",VLOOKUP($B169,$B$4:$Q$132,10,FALSE))</f>
        <v/>
      </c>
      <c r="L169" s="90" t="inlineStr"/>
      <c r="M169" s="125">
        <f>IF(VLOOKUP($B169,$B$4:$Q$132,12,FALSE)=0,"",VLOOKUP($B169,$B$4:$Q$132,12,FALSE))</f>
        <v/>
      </c>
      <c r="N169" s="95">
        <f>IF(O169="","",O169-P169)</f>
        <v/>
      </c>
      <c r="O169" s="96">
        <f>IF(ISNA(VLOOKUP($B169,$B$4:$Q$132,14,FALSE)),"",VLOOKUP($B169,$B$4:$Q$132,14,FALSE))</f>
        <v/>
      </c>
      <c r="P169" s="96">
        <f>IF(ISNA(VLOOKUP($B169,$B$4:$Q$132,15,FALSE)),"",VLOOKUP($B169,$B$4:$Q$132,15,FALSE))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65Q8H</t>
        </is>
      </c>
      <c r="C170" s="125">
        <f>IF(VLOOKUP("65R95H",$B$4:$Q$132,2,FALSE)=0,"",VLOOKUP("65R95H",$B$4:$Q$132,2,FALSE))</f>
        <v/>
      </c>
      <c r="D170" s="95">
        <f>IF(E170="","",E170-F170)</f>
        <v/>
      </c>
      <c r="E170" s="96">
        <f>IF(ISNA(VLOOKUP("65R95H",$B$4:$Q$132,4,FALSE)),"",VLOOKUP("65R95H",$B$4:$Q$132,4,FALSE))</f>
        <v/>
      </c>
      <c r="F170" s="96">
        <f>IF(ISNA(VLOOKUP("65R95H",$B$4:$Q$132,5,FALSE)),"",VLOOKUP("65R95H",$B$4:$Q$132,5,FALSE))</f>
        <v/>
      </c>
      <c r="G170" s="90" t="inlineStr"/>
      <c r="H170" s="125">
        <f>IF(VLOOKUP("65R95H",$B$4:$Q$132,7,FALSE)=0,"",VLOOKUP("65R95H",$B$4:$Q$132,7,FALSE))</f>
        <v/>
      </c>
      <c r="I170" s="95">
        <f>IF(J170="","",J170-K170)</f>
        <v/>
      </c>
      <c r="J170" s="96">
        <f>IF(ISNA(VLOOKUP("65R95H",$B$4:$Q$132,9,FALSE)),"",VLOOKUP("65R95H",$B$4:$Q$132,9,FALSE))</f>
        <v/>
      </c>
      <c r="K170" s="96">
        <f>IF(ISNA(VLOOKUP("65R95H",$B$4:$Q$132,10,FALSE)),"",VLOOKUP("65R95H",$B$4:$Q$132,10,FALSE))</f>
        <v/>
      </c>
      <c r="L170" s="90" t="inlineStr"/>
      <c r="M170" s="125">
        <f>IF(VLOOKUP("65R95H",$B$4:$Q$132,12,FALSE)=0,"",VLOOKUP("65R95H",$B$4:$Q$132,12,FALSE))</f>
        <v/>
      </c>
      <c r="N170" s="95">
        <f>IF(O170="","",O170-P170)</f>
        <v/>
      </c>
      <c r="O170" s="96">
        <f>IF(ISNA(VLOOKUP("65R95H",$B$4:$Q$132,14,FALSE)),"",VLOOKUP("65R95H",$B$4:$Q$132,14,FALSE))</f>
        <v/>
      </c>
      <c r="P170" s="96">
        <f>IF(ISNA(VLOOKUP("65R95H",$B$4:$Q$132,15,FALSE)),"",VLOOKUP("65R95H",$B$4:$Q$132,15,FALSE))</f>
        <v/>
      </c>
      <c r="Q170" s="90" t="inlineStr"/>
    </row>
    <row r="171" hidden="1" ht="20" customHeight="1" s="55">
      <c r="A171" s="124" t="inlineStr">
        <is>
          <t>QLED</t>
        </is>
      </c>
      <c r="B171" s="124" t="inlineStr">
        <is>
          <t>65Q7H</t>
        </is>
      </c>
      <c r="C171" s="125">
        <f>IF(VLOOKUP("65R85H",$B$4:$Q$132,2,FALSE)=0,"",VLOOKUP("65R85H",$B$4:$Q$132,2,FALSE))</f>
        <v/>
      </c>
      <c r="D171" s="95">
        <f>IF(E171="","",E171-F171)</f>
        <v/>
      </c>
      <c r="E171" s="96">
        <f>IF(ISNA(VLOOKUP("65R85H",$B$4:$Q$132,4,FALSE)),"",VLOOKUP("65R85H",$B$4:$Q$132,4,FALSE))</f>
        <v/>
      </c>
      <c r="F171" s="96">
        <f>IF(ISNA(VLOOKUP("65R85H",$B$4:$Q$132,5,FALSE)),"",VLOOKUP("65R85H",$B$4:$Q$132,5,FALSE))</f>
        <v/>
      </c>
      <c r="G171" s="90" t="inlineStr"/>
      <c r="H171" s="125">
        <f>IF(VLOOKUP("65R85H",$B$4:$Q$132,7,FALSE)=0,"",VLOOKUP("65R85H",$B$4:$Q$132,7,FALSE))</f>
        <v/>
      </c>
      <c r="I171" s="95">
        <f>IF(J171="","",J171-K171)</f>
        <v/>
      </c>
      <c r="J171" s="96">
        <f>IF(ISNA(VLOOKUP("65R85H",$B$4:$Q$132,9,FALSE)),"",VLOOKUP("65R85H",$B$4:$Q$132,9,FALSE))</f>
        <v/>
      </c>
      <c r="K171" s="96">
        <f>IF(ISNA(VLOOKUP("65R85H",$B$4:$Q$132,10,FALSE)),"",VLOOKUP("65R85H",$B$4:$Q$132,10,FALSE))</f>
        <v/>
      </c>
      <c r="L171" s="90" t="inlineStr"/>
      <c r="M171" s="125">
        <f>IF(VLOOKUP("65R85H",$B$4:$Q$132,12,FALSE)=0,"",VLOOKUP("65R85H",$B$4:$Q$132,12,FALSE))</f>
        <v/>
      </c>
      <c r="N171" s="95">
        <f>IF(O171="","",O171-P171)</f>
        <v/>
      </c>
      <c r="O171" s="96">
        <f>IF(ISNA(VLOOKUP("65R85H",$B$4:$Q$132,14,FALSE)),"",VLOOKUP("65R85H",$B$4:$Q$132,14,FALSE))</f>
        <v/>
      </c>
      <c r="P171" s="96">
        <f>IF(ISNA(VLOOKUP("65R85H",$B$4:$Q$132,15,FALSE)),"",VLOOKUP("65R85H",$B$4:$Q$132,15,FALSE))</f>
        <v/>
      </c>
      <c r="Q171" s="90" t="inlineStr"/>
    </row>
    <row r="172" hidden="1" s="55">
      <c r="A172" s="124" t="inlineStr">
        <is>
          <t>UHD 4K</t>
        </is>
      </c>
      <c r="B172" s="124" t="inlineStr">
        <is>
          <t>65U8000H</t>
        </is>
      </c>
      <c r="C172" s="125">
        <f>IF(VLOOKUP($B172,$B$4:$Q$132,2,FALSE)=0,"",VLOOKUP($B172,$B$4:$Q$132,2,FALSE))</f>
        <v/>
      </c>
      <c r="D172" s="95">
        <f>IF(E172="","",E172-F172)</f>
        <v/>
      </c>
      <c r="E172" s="96">
        <f>IF(ISNA(VLOOKUP($B172,$B$4:$Q$132,4,FALSE)),"",VLOOKUP($B172,$B$4:$Q$132,4,FALSE))</f>
        <v/>
      </c>
      <c r="F172" s="96">
        <f>IF(ISNA(VLOOKUP($B172,$B$4:$Q$132,5,FALSE)),"",VLOOKUP($B172,$B$4:$Q$132,5,FALSE))</f>
        <v/>
      </c>
      <c r="G172" s="90" t="inlineStr"/>
      <c r="H172" s="125">
        <f>IF(VLOOKUP($B172,$B$4:$Q$132,7,FALSE)=0,"",VLOOKUP($B172,$B$4:$Q$132,7,FALSE))</f>
        <v/>
      </c>
      <c r="I172" s="95">
        <f>IF(J172="","",J172-K172)</f>
        <v/>
      </c>
      <c r="J172" s="96">
        <f>IF(ISNA(VLOOKUP($B172,$B$4:$Q$132,9,FALSE)),"",VLOOKUP($B172,$B$4:$Q$132,9,FALSE))</f>
        <v/>
      </c>
      <c r="K172" s="96">
        <f>IF(ISNA(VLOOKUP($B172,$B$4:$Q$132,10,FALSE)),"",VLOOKUP($B172,$B$4:$Q$132,10,FALSE))</f>
        <v/>
      </c>
      <c r="L172" s="90" t="inlineStr"/>
      <c r="M172" s="125">
        <f>IF(VLOOKUP($B172,$B$4:$Q$132,12,FALSE)=0,"",VLOOKUP($B172,$B$4:$Q$132,12,FALSE))</f>
        <v/>
      </c>
      <c r="N172" s="95">
        <f>IF(O172="","",O172-P172)</f>
        <v/>
      </c>
      <c r="O172" s="96">
        <f>IF(ISNA(VLOOKUP($B172,$B$4:$Q$132,14,FALSE)),"",VLOOKUP($B172,$B$4:$Q$132,14,FALSE))</f>
        <v/>
      </c>
      <c r="P172" s="96">
        <f>IF(ISNA(VLOOKUP($B172,$B$4:$Q$132,15,FALSE)),"",VLOOKUP($B172,$B$4:$Q$132,15,FALSE))</f>
        <v/>
      </c>
      <c r="Q172" s="90" t="inlineStr"/>
    </row>
    <row r="173" hidden="1" ht="20" customHeight="1" s="55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 hidden="1" ht="20" customHeight="1" s="55">
      <c r="A174" s="124" t="inlineStr">
        <is>
          <t>OLED</t>
        </is>
      </c>
      <c r="B174" s="124" t="inlineStr">
        <is>
          <t>77S99H</t>
        </is>
      </c>
      <c r="C174" s="125">
        <f>IF(VLOOKUP($B174,$B$4:$Q$132,2,FALSE)=0,"",VLOOKUP($B174,$B$4:$Q$132,2,FALSE))</f>
        <v/>
      </c>
      <c r="D174" s="95">
        <f>IF(E174="","",E174-F174)</f>
        <v/>
      </c>
      <c r="E174" s="96">
        <f>IF(ISNA(VLOOKUP($B174,$B$4:$Q$132,4,FALSE)),"",VLOOKUP($B174,$B$4:$Q$132,4,FALSE))</f>
        <v/>
      </c>
      <c r="F174" s="96">
        <f>IF(ISNA(VLOOKUP($B174,$B$4:$Q$132,5,FALSE)),"",VLOOKUP($B174,$B$4:$Q$132,5,FALSE))</f>
        <v/>
      </c>
      <c r="G174" s="90" t="inlineStr"/>
      <c r="H174" s="125">
        <f>IF(VLOOKUP($B174,$B$4:$Q$132,7,FALSE)=0,"",VLOOKUP($B174,$B$4:$Q$132,7,FALSE))</f>
        <v/>
      </c>
      <c r="I174" s="95">
        <f>IF(J174="","",J174-K174)</f>
        <v/>
      </c>
      <c r="J174" s="96">
        <f>IF(ISNA(VLOOKUP($B174,$B$4:$Q$132,9,FALSE)),"",VLOOKUP($B174,$B$4:$Q$132,9,FALSE))</f>
        <v/>
      </c>
      <c r="K174" s="96">
        <f>IF(ISNA(VLOOKUP($B174,$B$4:$Q$132,10,FALSE)),"",VLOOKUP($B174,$B$4:$Q$132,10,FALSE))</f>
        <v/>
      </c>
      <c r="L174" s="90" t="inlineStr"/>
      <c r="M174" s="125">
        <f>IF(VLOOKUP($B174,$B$4:$Q$132,12,FALSE)=0,"",VLOOKUP($B174,$B$4:$Q$132,12,FALSE))</f>
        <v/>
      </c>
      <c r="N174" s="95">
        <f>IF(O174="","",O174-P174)</f>
        <v/>
      </c>
      <c r="O174" s="96">
        <f>IF(ISNA(VLOOKUP($B174,$B$4:$Q$132,14,FALSE)),"",VLOOKUP($B174,$B$4:$Q$132,14,FALSE))</f>
        <v/>
      </c>
      <c r="P174" s="96">
        <f>IF(ISNA(VLOOKUP($B174,$B$4:$Q$132,15,FALSE)),"",VLOOKUP($B174,$B$4:$Q$132,15,FALSE))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77S95H</t>
        </is>
      </c>
      <c r="C175" s="125">
        <f>IF(VLOOKUP($B175,$B$4:$Q$132,2,FALSE)=0,"",VLOOKUP($B175,$B$4:$Q$132,2,FALSE))</f>
        <v/>
      </c>
      <c r="D175" s="95">
        <f>IF(E175="","",E175-F175)</f>
        <v/>
      </c>
      <c r="E175" s="96">
        <f>IF(ISNA(VLOOKUP($B175,$B$4:$Q$132,4,FALSE)),"",VLOOKUP($B175,$B$4:$Q$132,4,FALSE))</f>
        <v/>
      </c>
      <c r="F175" s="96">
        <f>IF(ISNA(VLOOKUP($B175,$B$4:$Q$132,5,FALSE)),"",VLOOKUP($B175,$B$4:$Q$132,5,FALSE))</f>
        <v/>
      </c>
      <c r="G175" s="90" t="inlineStr"/>
      <c r="H175" s="125">
        <f>IF(VLOOKUP($B175,$B$4:$Q$132,7,FALSE)=0,"",VLOOKUP($B175,$B$4:$Q$132,7,FALSE))</f>
        <v/>
      </c>
      <c r="I175" s="95">
        <f>IF(J175="","",J175-K175)</f>
        <v/>
      </c>
      <c r="J175" s="96">
        <f>IF(ISNA(VLOOKUP($B175,$B$4:$Q$132,9,FALSE)),"",VLOOKUP($B175,$B$4:$Q$132,9,FALSE))</f>
        <v/>
      </c>
      <c r="K175" s="96">
        <f>IF(ISNA(VLOOKUP($B175,$B$4:$Q$132,10,FALSE)),"",VLOOKUP($B175,$B$4:$Q$132,10,FALSE))</f>
        <v/>
      </c>
      <c r="L175" s="90" t="inlineStr"/>
      <c r="M175" s="125">
        <f>IF(VLOOKUP($B175,$B$4:$Q$132,12,FALSE)=0,"",VLOOKUP($B175,$B$4:$Q$132,12,FALSE))</f>
        <v/>
      </c>
      <c r="N175" s="95">
        <f>IF(O175="","",O175-P175)</f>
        <v/>
      </c>
      <c r="O175" s="96">
        <f>IF(ISNA(VLOOKUP($B175,$B$4:$Q$132,14,FALSE)),"",VLOOKUP($B175,$B$4:$Q$132,14,FALSE))</f>
        <v/>
      </c>
      <c r="P175" s="96">
        <f>IF(ISNA(VLOOKUP($B175,$B$4:$Q$132,15,FALSE)),"",VLOOKUP($B175,$B$4:$Q$132,15,FALSE))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77S90H</t>
        </is>
      </c>
      <c r="C176" s="125">
        <f>IF(VLOOKUP($B176,$B$4:$Q$132,2,FALSE)=0,"",VLOOKUP($B176,$B$4:$Q$132,2,FALSE))</f>
        <v/>
      </c>
      <c r="D176" s="95">
        <f>IF(E176="","",E176-F176)</f>
        <v/>
      </c>
      <c r="E176" s="96">
        <f>IF(ISNA(VLOOKUP($B176,$B$4:$Q$132,4,FALSE)),"",VLOOKUP($B176,$B$4:$Q$132,4,FALSE))</f>
        <v/>
      </c>
      <c r="F176" s="96">
        <f>IF(ISNA(VLOOKUP($B176,$B$4:$Q$132,5,FALSE)),"",VLOOKUP($B176,$B$4:$Q$132,5,FALSE))</f>
        <v/>
      </c>
      <c r="G176" s="90" t="inlineStr"/>
      <c r="H176" s="125">
        <f>IF(VLOOKUP($B176,$B$4:$Q$132,7,FALSE)=0,"",VLOOKUP($B176,$B$4:$Q$132,7,FALSE))</f>
        <v/>
      </c>
      <c r="I176" s="95">
        <f>IF(J176="","",J176-K176)</f>
        <v/>
      </c>
      <c r="J176" s="96">
        <f>IF(ISNA(VLOOKUP($B176,$B$4:$Q$132,9,FALSE)),"",VLOOKUP($B176,$B$4:$Q$132,9,FALSE))</f>
        <v/>
      </c>
      <c r="K176" s="96">
        <f>IF(ISNA(VLOOKUP($B176,$B$4:$Q$132,10,FALSE)),"",VLOOKUP($B176,$B$4:$Q$132,10,FALSE))</f>
        <v/>
      </c>
      <c r="L176" s="90" t="inlineStr"/>
      <c r="M176" s="125">
        <f>IF(VLOOKUP($B176,$B$4:$Q$132,12,FALSE)=0,"",VLOOKUP($B176,$B$4:$Q$132,12,FALSE))</f>
        <v/>
      </c>
      <c r="N176" s="95">
        <f>IF(O176="","",O176-P176)</f>
        <v/>
      </c>
      <c r="O176" s="96">
        <f>IF(ISNA(VLOOKUP($B176,$B$4:$Q$132,14,FALSE)),"",VLOOKUP($B176,$B$4:$Q$132,14,FALSE))</f>
        <v/>
      </c>
      <c r="P176" s="96">
        <f>IF(ISNA(VLOOKUP($B176,$B$4:$Q$132,15,FALSE)),"",VLOOKUP($B176,$B$4:$Q$132,15,FALSE))</f>
        <v/>
      </c>
      <c r="Q176" s="90" t="inlineStr"/>
    </row>
    <row r="177" hidden="1" ht="20" customHeight="1" s="55">
      <c r="A177" s="124" t="inlineStr">
        <is>
          <t>OLED</t>
        </is>
      </c>
      <c r="B177" s="124" t="inlineStr">
        <is>
          <t>77S85H</t>
        </is>
      </c>
      <c r="C177" s="125">
        <f>IF(VLOOKUP($B177,$B$4:$Q$132,2,FALSE)=0,"",VLOOKUP($B177,$B$4:$Q$132,2,FALSE))</f>
        <v/>
      </c>
      <c r="D177" s="95">
        <f>IF(E177="","",E177-F177)</f>
        <v/>
      </c>
      <c r="E177" s="96">
        <f>IF(ISNA(VLOOKUP($B177,$B$4:$Q$132,4,FALSE)),"",VLOOKUP($B177,$B$4:$Q$132,4,FALSE))</f>
        <v/>
      </c>
      <c r="F177" s="96">
        <f>IF(ISNA(VLOOKUP($B177,$B$4:$Q$132,5,FALSE)),"",VLOOKUP($B177,$B$4:$Q$132,5,FALSE))</f>
        <v/>
      </c>
      <c r="G177" s="90" t="inlineStr"/>
      <c r="H177" s="125">
        <f>IF(VLOOKUP($B177,$B$4:$Q$132,7,FALSE)=0,"",VLOOKUP($B177,$B$4:$Q$132,7,FALSE))</f>
        <v/>
      </c>
      <c r="I177" s="95">
        <f>IF(J177="","",J177-K177)</f>
        <v/>
      </c>
      <c r="J177" s="96">
        <f>IF(ISNA(VLOOKUP($B177,$B$4:$Q$132,9,FALSE)),"",VLOOKUP($B177,$B$4:$Q$132,9,FALSE))</f>
        <v/>
      </c>
      <c r="K177" s="96">
        <f>IF(ISNA(VLOOKUP($B177,$B$4:$Q$132,10,FALSE)),"",VLOOKUP($B177,$B$4:$Q$132,10,FALSE))</f>
        <v/>
      </c>
      <c r="L177" s="90" t="inlineStr"/>
      <c r="M177" s="125">
        <f>IF(VLOOKUP($B177,$B$4:$Q$132,12,FALSE)=0,"",VLOOKUP($B177,$B$4:$Q$132,12,FALSE))</f>
        <v/>
      </c>
      <c r="N177" s="95">
        <f>IF(O177="","",O177-P177)</f>
        <v/>
      </c>
      <c r="O177" s="96">
        <f>IF(ISNA(VLOOKUP($B177,$B$4:$Q$132,14,FALSE)),"",VLOOKUP($B177,$B$4:$Q$132,14,FALSE))</f>
        <v/>
      </c>
      <c r="P177" s="96">
        <f>IF(ISNA(VLOOKUP($B177,$B$4:$Q$132,15,FALSE)),"",VLOOKUP($B177,$B$4:$Q$132,15,FALSE))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75QN70H</t>
        </is>
      </c>
      <c r="C178" s="125">
        <f>IF(VLOOKUP($B178,$B$4:$Q$132,2,FALSE)=0,"",VLOOKUP($B178,$B$4:$Q$132,2,FALSE))</f>
        <v/>
      </c>
      <c r="D178" s="95">
        <f>IF(E178="","",E178-F178)</f>
        <v/>
      </c>
      <c r="E178" s="96">
        <f>IF(ISNA(VLOOKUP($B178,$B$4:$Q$132,4,FALSE)),"",VLOOKUP($B178,$B$4:$Q$132,4,FALSE))</f>
        <v/>
      </c>
      <c r="F178" s="96">
        <f>IF(ISNA(VLOOKUP($B178,$B$4:$Q$132,5,FALSE)),"",VLOOKUP($B178,$B$4:$Q$132,5,FALSE))</f>
        <v/>
      </c>
      <c r="G178" s="90" t="inlineStr"/>
      <c r="H178" s="125">
        <f>IF(VLOOKUP($B178,$B$4:$Q$132,7,FALSE)=0,"",VLOOKUP($B178,$B$4:$Q$132,7,FALSE))</f>
        <v/>
      </c>
      <c r="I178" s="95">
        <f>IF(J178="","",J178-K178)</f>
        <v/>
      </c>
      <c r="J178" s="96">
        <f>IF(ISNA(VLOOKUP($B178,$B$4:$Q$132,9,FALSE)),"",VLOOKUP($B178,$B$4:$Q$132,9,FALSE))</f>
        <v/>
      </c>
      <c r="K178" s="96">
        <f>IF(ISNA(VLOOKUP($B178,$B$4:$Q$132,10,FALSE)),"",VLOOKUP($B178,$B$4:$Q$132,10,FALSE))</f>
        <v/>
      </c>
      <c r="L178" s="90" t="inlineStr"/>
      <c r="M178" s="125">
        <f>IF(VLOOKUP($B178,$B$4:$Q$132,12,FALSE)=0,"",VLOOKUP($B178,$B$4:$Q$132,12,FALSE))</f>
        <v/>
      </c>
      <c r="N178" s="95">
        <f>IF(O178="","",O178-P178)</f>
        <v/>
      </c>
      <c r="O178" s="96">
        <f>IF(ISNA(VLOOKUP($B178,$B$4:$Q$132,14,FALSE)),"",VLOOKUP($B178,$B$4:$Q$132,14,FALSE))</f>
        <v/>
      </c>
      <c r="P178" s="96">
        <f>IF(ISNA(VLOOKUP($B178,$B$4:$Q$132,15,FALSE)),"",VLOOKUP($B178,$B$4:$Q$132,15,FALSE))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75Q8H</t>
        </is>
      </c>
      <c r="C179" s="125">
        <f>IF(VLOOKUP("75R95H",$B$4:$Q$132,2,FALSE)=0,"",VLOOKUP("75R95H",$B$4:$Q$132,2,FALSE))</f>
        <v/>
      </c>
      <c r="D179" s="95">
        <f>IF(E179="","",E179-F179)</f>
        <v/>
      </c>
      <c r="E179" s="96">
        <f>IF(ISNA(VLOOKUP("75R95H",$B$4:$Q$132,4,FALSE)),"",VLOOKUP("75R95H",$B$4:$Q$132,4,FALSE))</f>
        <v/>
      </c>
      <c r="F179" s="96">
        <f>IF(ISNA(VLOOKUP("75R95H",$B$4:$Q$132,5,FALSE)),"",VLOOKUP("75R95H",$B$4:$Q$132,5,FALSE))</f>
        <v/>
      </c>
      <c r="G179" s="90" t="inlineStr"/>
      <c r="H179" s="125">
        <f>IF(VLOOKUP("75R95H",$B$4:$Q$132,7,FALSE)=0,"",VLOOKUP("75R95H",$B$4:$Q$132,7,FALSE))</f>
        <v/>
      </c>
      <c r="I179" s="95">
        <f>IF(J179="","",J179-K179)</f>
        <v/>
      </c>
      <c r="J179" s="96">
        <f>IF(ISNA(VLOOKUP("75R95H",$B$4:$Q$132,9,FALSE)),"",VLOOKUP("75R95H",$B$4:$Q$132,9,FALSE))</f>
        <v/>
      </c>
      <c r="K179" s="96">
        <f>IF(ISNA(VLOOKUP("75R95H",$B$4:$Q$132,10,FALSE)),"",VLOOKUP("75R95H",$B$4:$Q$132,10,FALSE))</f>
        <v/>
      </c>
      <c r="L179" s="90" t="inlineStr"/>
      <c r="M179" s="125">
        <f>IF(VLOOKUP("75R95H",$B$4:$Q$132,12,FALSE)=0,"",VLOOKUP("75R95H",$B$4:$Q$132,12,FALSE))</f>
        <v/>
      </c>
      <c r="N179" s="95">
        <f>IF(O179="","",O179-P179)</f>
        <v/>
      </c>
      <c r="O179" s="96">
        <f>IF(ISNA(VLOOKUP("75R95H",$B$4:$Q$132,14,FALSE)),"",VLOOKUP("75R95H",$B$4:$Q$132,14,FALSE))</f>
        <v/>
      </c>
      <c r="P179" s="96">
        <f>IF(ISNA(VLOOKUP("75R95H",$B$4:$Q$132,15,FALSE)),"",VLOOKUP("75R95H",$B$4:$Q$132,15,FALSE))</f>
        <v/>
      </c>
      <c r="Q179" s="90" t="inlineStr"/>
    </row>
    <row r="180" hidden="1" ht="20" customHeight="1" s="55">
      <c r="A180" s="124" t="inlineStr">
        <is>
          <t>QLED</t>
        </is>
      </c>
      <c r="B180" s="124" t="inlineStr">
        <is>
          <t>75Q7H</t>
        </is>
      </c>
      <c r="C180" s="125">
        <f>IF(VLOOKUP("75R85H",$B$4:$Q$132,2,FALSE)=0,"",VLOOKUP("75R85H",$B$4:$Q$132,2,FALSE))</f>
        <v/>
      </c>
      <c r="D180" s="95">
        <f>IF(E180="","",E180-F180)</f>
        <v/>
      </c>
      <c r="E180" s="96">
        <f>IF(ISNA(VLOOKUP("75R85H",$B$4:$Q$132,4,FALSE)),"",VLOOKUP("75R85H",$B$4:$Q$132,4,FALSE))</f>
        <v/>
      </c>
      <c r="F180" s="96">
        <f>IF(ISNA(VLOOKUP("75R85H",$B$4:$Q$132,5,FALSE)),"",VLOOKUP("75R85H",$B$4:$Q$132,5,FALSE))</f>
        <v/>
      </c>
      <c r="G180" s="90" t="inlineStr"/>
      <c r="H180" s="125">
        <f>IF(VLOOKUP("75R85H",$B$4:$Q$132,7,FALSE)=0,"",VLOOKUP("75R85H",$B$4:$Q$132,7,FALSE))</f>
        <v/>
      </c>
      <c r="I180" s="95">
        <f>IF(J180="","",J180-K180)</f>
        <v/>
      </c>
      <c r="J180" s="96">
        <f>IF(ISNA(VLOOKUP("75R85H",$B$4:$Q$132,9,FALSE)),"",VLOOKUP("75R85H",$B$4:$Q$132,9,FALSE))</f>
        <v/>
      </c>
      <c r="K180" s="96">
        <f>IF(ISNA(VLOOKUP("75R85H",$B$4:$Q$132,10,FALSE)),"",VLOOKUP("75R85H",$B$4:$Q$132,10,FALSE))</f>
        <v/>
      </c>
      <c r="L180" s="90" t="inlineStr"/>
      <c r="M180" s="125">
        <f>IF(VLOOKUP("75R85H",$B$4:$Q$132,12,FALSE)=0,"",VLOOKUP("75R85H",$B$4:$Q$132,12,FALSE))</f>
        <v/>
      </c>
      <c r="N180" s="95">
        <f>IF(O180="","",O180-P180)</f>
        <v/>
      </c>
      <c r="O180" s="96">
        <f>IF(ISNA(VLOOKUP("75R85H",$B$4:$Q$132,14,FALSE)),"",VLOOKUP("75R85H",$B$4:$Q$132,14,FALSE))</f>
        <v/>
      </c>
      <c r="P180" s="96">
        <f>IF(ISNA(VLOOKUP("75R85H",$B$4:$Q$132,15,FALSE)),"",VLOOKUP("75R85H",$B$4:$Q$132,15,FALSE))</f>
        <v/>
      </c>
      <c r="Q180" s="90" t="inlineStr"/>
    </row>
    <row r="181">
      <c r="A181" s="124" t="inlineStr">
        <is>
          <t>UHD 4K</t>
        </is>
      </c>
      <c r="B181" s="124" t="inlineStr">
        <is>
          <t>75U8000H</t>
        </is>
      </c>
      <c r="C181" s="125">
        <f>IF(VLOOKUP($B181,$B$4:$Q$132,2,FALSE)=0,"",VLOOKUP($B181,$B$4:$Q$132,2,FALSE))</f>
        <v/>
      </c>
      <c r="D181" s="95">
        <f>IF(E181="","",E181-F181)</f>
        <v/>
      </c>
      <c r="E181" s="96">
        <f>IF(ISNA(VLOOKUP($B181,$B$4:$Q$132,4,FALSE)),"",VLOOKUP($B181,$B$4:$Q$132,4,FALSE))</f>
        <v/>
      </c>
      <c r="F181" s="96">
        <f>IF(ISNA(VLOOKUP($B181,$B$4:$Q$132,5,FALSE)),"",VLOOKUP($B181,$B$4:$Q$132,5,FALSE))</f>
        <v/>
      </c>
      <c r="G181" s="90" t="inlineStr"/>
      <c r="H181" s="125">
        <f>IF(VLOOKUP($B181,$B$4:$Q$132,7,FALSE)=0,"",VLOOKUP($B181,$B$4:$Q$132,7,FALSE))</f>
        <v/>
      </c>
      <c r="I181" s="95">
        <f>IF(J181="","",J181-K181)</f>
        <v/>
      </c>
      <c r="J181" s="96">
        <f>IF(ISNA(VLOOKUP($B181,$B$4:$Q$132,9,FALSE)),"",VLOOKUP($B181,$B$4:$Q$132,9,FALSE))</f>
        <v/>
      </c>
      <c r="K181" s="96">
        <f>IF(ISNA(VLOOKUP($B181,$B$4:$Q$132,10,FALSE)),"",VLOOKUP($B181,$B$4:$Q$132,10,FALSE))</f>
        <v/>
      </c>
      <c r="L181" s="90" t="inlineStr"/>
      <c r="M181" s="125">
        <f>IF(VLOOKUP($B181,$B$4:$Q$132,12,FALSE)=0,"",VLOOKUP($B181,$B$4:$Q$132,12,FALSE))</f>
        <v/>
      </c>
      <c r="N181" s="95">
        <f>IF(O181="","",O181-P181)</f>
        <v/>
      </c>
      <c r="O181" s="96">
        <f>IF(ISNA(VLOOKUP($B181,$B$4:$Q$132,14,FALSE)),"",VLOOKUP($B181,$B$4:$Q$132,14,FALSE))</f>
        <v/>
      </c>
      <c r="P181" s="96">
        <f>IF(ISNA(VLOOKUP($B181,$B$4:$Q$132,15,FALSE)),"",VLOOKUP($B181,$B$4:$Q$132,15,FALSE))</f>
        <v/>
      </c>
      <c r="Q181" s="90" t="inlineStr"/>
    </row>
  </sheetData>
  <mergeCells count="6">
    <mergeCell ref="H2:L2"/>
    <mergeCell ref="C1:Q1"/>
    <mergeCell ref="M2:Q2"/>
    <mergeCell ref="C2:G2"/>
    <mergeCell ref="C134:Q134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2026-10-06T00:38:33Z</dcterms:modified>
  <cp:lastModifiedBy>박대호/책임/TV유럽영업2팀</cp:lastModifiedBy>
</cp:coreProperties>
</file>